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lonestar-my.sharepoint.com/personal/alexander_j_dodd_lonestar_edu/Documents/Desktop/Trusted Master List/"/>
    </mc:Choice>
  </mc:AlternateContent>
  <xr:revisionPtr revIDLastSave="2755" documentId="8_{7D7845BB-4697-4A36-9844-E467720D25E9}" xr6:coauthVersionLast="47" xr6:coauthVersionMax="47" xr10:uidLastSave="{13D35B49-0717-4D12-BA89-CF4EC9159D8A}"/>
  <bookViews>
    <workbookView xWindow="28680" yWindow="-120" windowWidth="29040" windowHeight="15720" activeTab="1" xr2:uid="{B413C3A9-37CC-4021-BDD6-DBB5A8B2155C}"/>
  </bookViews>
  <sheets>
    <sheet name="Employee Profile Template" sheetId="3" r:id="rId1"/>
    <sheet name="Summary" sheetId="4" r:id="rId2"/>
    <sheet name="Projection Calculator" sheetId="5" r:id="rId3"/>
    <sheet name="Employee List" sheetId="6" r:id="rId4"/>
    <sheet name="Department List" sheetId="59" r:id="rId5"/>
    <sheet name="First" sheetId="1" r:id="rId6"/>
    <sheet name="Liana Mercer" sheetId="60" r:id="rId7"/>
    <sheet name="Darius Cole" sheetId="61" r:id="rId8"/>
    <sheet name="Priya Deshmukh" sheetId="62" r:id="rId9"/>
    <sheet name="Mateo Alvarez" sheetId="63" r:id="rId10"/>
    <sheet name="Hannah Schultz" sheetId="64" r:id="rId11"/>
    <sheet name="Jamal Washington" sheetId="65" r:id="rId12"/>
    <sheet name="Chloe Nguyen" sheetId="66" r:id="rId13"/>
    <sheet name="Ethan Patel" sheetId="67" r:id="rId14"/>
    <sheet name="Sofia Rossi" sheetId="68" r:id="rId15"/>
    <sheet name="Caleb Johnson" sheetId="69" r:id="rId16"/>
    <sheet name="End" sheetId="2" r:id="rId17"/>
  </sheets>
  <definedNames>
    <definedName name="_xleta.SHEET" hidden="1" xlm="1">#NAME?</definedName>
    <definedName name="SheetNames">REPLACE(GET.WORKBOOK(1),1,FIND("]",GET.WORKBOOK(1)),"")</definedName>
    <definedName name="SheetsList">#REF!</definedName>
    <definedName name="wshNames">RIGHT(GET.WORKBOOK(1),LEN(GET.WORKBOOK(1))-FIND("]",GET.WORKBOOK(1)))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  <c r="B9" i="5"/>
  <c r="B8" i="5"/>
  <c r="B7" i="5"/>
  <c r="D11" i="5"/>
  <c r="D13" i="5"/>
  <c r="D14" i="63"/>
  <c r="D15" i="63"/>
  <c r="D16" i="63"/>
  <c r="D17" i="63"/>
  <c r="D18" i="63"/>
  <c r="D19" i="63"/>
  <c r="D20" i="63"/>
  <c r="D21" i="63"/>
  <c r="D22" i="63"/>
  <c r="D23" i="63"/>
  <c r="D24" i="63"/>
  <c r="D25" i="63"/>
  <c r="D26" i="63"/>
  <c r="D27" i="63"/>
  <c r="D28" i="63"/>
  <c r="D29" i="63"/>
  <c r="D30" i="63"/>
  <c r="D31" i="63"/>
  <c r="D32" i="63"/>
  <c r="D33" i="63"/>
  <c r="D34" i="63"/>
  <c r="D35" i="63"/>
  <c r="D36" i="63"/>
  <c r="D37" i="63"/>
  <c r="D38" i="63"/>
  <c r="D39" i="63"/>
  <c r="D40" i="63"/>
  <c r="D41" i="63"/>
  <c r="D42" i="63"/>
  <c r="D43" i="63"/>
  <c r="D44" i="63"/>
  <c r="D45" i="63"/>
  <c r="D46" i="63"/>
  <c r="D47" i="63"/>
  <c r="D48" i="63"/>
  <c r="D49" i="63"/>
  <c r="D50" i="63"/>
  <c r="D51" i="63"/>
  <c r="D52" i="63"/>
  <c r="D53" i="63"/>
  <c r="D54" i="63"/>
  <c r="D55" i="63"/>
  <c r="D56" i="63"/>
  <c r="D57" i="63"/>
  <c r="D58" i="63"/>
  <c r="D59" i="63"/>
  <c r="D60" i="63"/>
  <c r="D5" i="63" s="1"/>
  <c r="D6" i="63" s="1"/>
  <c r="D61" i="63"/>
  <c r="D62" i="63"/>
  <c r="D63" i="63"/>
  <c r="D64" i="63"/>
  <c r="D65" i="63"/>
  <c r="D66" i="63"/>
  <c r="D9" i="61"/>
  <c r="D9" i="62"/>
  <c r="D9" i="63"/>
  <c r="D9" i="64"/>
  <c r="D9" i="65"/>
  <c r="D9" i="66"/>
  <c r="D9" i="67"/>
  <c r="D9" i="68"/>
  <c r="D9" i="69"/>
  <c r="G5" i="69" s="1"/>
  <c r="G7" i="69" s="1"/>
  <c r="D3" i="61"/>
  <c r="D3" i="62"/>
  <c r="D3" i="63"/>
  <c r="D3" i="64"/>
  <c r="D3" i="65"/>
  <c r="D3" i="66"/>
  <c r="D3" i="67"/>
  <c r="D3" i="68"/>
  <c r="D3" i="69"/>
  <c r="G7" i="60"/>
  <c r="D14" i="60"/>
  <c r="D9" i="60"/>
  <c r="D3" i="60"/>
  <c r="G6" i="62"/>
  <c r="G6" i="63"/>
  <c r="G6" i="64"/>
  <c r="G6" i="65"/>
  <c r="G6" i="66"/>
  <c r="G6" i="67"/>
  <c r="G6" i="68"/>
  <c r="G6" i="69"/>
  <c r="G6" i="61"/>
  <c r="G7" i="3"/>
  <c r="G6" i="3"/>
  <c r="G6" i="60"/>
  <c r="D66" i="69"/>
  <c r="D65" i="69"/>
  <c r="D64" i="69"/>
  <c r="D63" i="69"/>
  <c r="D62" i="69"/>
  <c r="D61" i="69"/>
  <c r="D60" i="69"/>
  <c r="D59" i="69"/>
  <c r="D58" i="69"/>
  <c r="D57" i="69"/>
  <c r="D56" i="69"/>
  <c r="D55" i="69"/>
  <c r="D54" i="69"/>
  <c r="D53" i="69"/>
  <c r="D52" i="69"/>
  <c r="D51" i="69"/>
  <c r="D50" i="69"/>
  <c r="D49" i="69"/>
  <c r="D48" i="69"/>
  <c r="D47" i="69"/>
  <c r="D46" i="69"/>
  <c r="D45" i="69"/>
  <c r="D44" i="69"/>
  <c r="D43" i="69"/>
  <c r="D42" i="69"/>
  <c r="D41" i="69"/>
  <c r="D40" i="69"/>
  <c r="D39" i="69"/>
  <c r="D38" i="69"/>
  <c r="D37" i="69"/>
  <c r="D36" i="69"/>
  <c r="D35" i="69"/>
  <c r="D34" i="69"/>
  <c r="D33" i="69"/>
  <c r="D32" i="69"/>
  <c r="D31" i="69"/>
  <c r="D30" i="69"/>
  <c r="D29" i="69"/>
  <c r="D28" i="69"/>
  <c r="D27" i="69"/>
  <c r="D26" i="69"/>
  <c r="D25" i="69"/>
  <c r="D24" i="69"/>
  <c r="D23" i="69"/>
  <c r="D22" i="69"/>
  <c r="D21" i="69"/>
  <c r="D20" i="69"/>
  <c r="D19" i="69"/>
  <c r="D18" i="69"/>
  <c r="D17" i="69"/>
  <c r="D16" i="69"/>
  <c r="D15" i="69"/>
  <c r="D14" i="69"/>
  <c r="C9" i="69"/>
  <c r="C3" i="69"/>
  <c r="D66" i="68"/>
  <c r="D65" i="68"/>
  <c r="D64" i="68"/>
  <c r="D63" i="68"/>
  <c r="D62" i="68"/>
  <c r="D61" i="68"/>
  <c r="D60" i="68"/>
  <c r="D59" i="68"/>
  <c r="D58" i="68"/>
  <c r="D57" i="68"/>
  <c r="D56" i="68"/>
  <c r="D55" i="68"/>
  <c r="D54" i="68"/>
  <c r="D53" i="68"/>
  <c r="D52" i="68"/>
  <c r="D51" i="68"/>
  <c r="D50" i="68"/>
  <c r="D49" i="68"/>
  <c r="D48" i="68"/>
  <c r="D47" i="68"/>
  <c r="D46" i="68"/>
  <c r="D45" i="68"/>
  <c r="D44" i="68"/>
  <c r="D43" i="68"/>
  <c r="D42" i="68"/>
  <c r="D41" i="68"/>
  <c r="D40" i="68"/>
  <c r="D39" i="68"/>
  <c r="D38" i="68"/>
  <c r="D37" i="68"/>
  <c r="D36" i="68"/>
  <c r="D35" i="68"/>
  <c r="D34" i="68"/>
  <c r="D33" i="68"/>
  <c r="D32" i="68"/>
  <c r="D31" i="68"/>
  <c r="D30" i="68"/>
  <c r="D29" i="68"/>
  <c r="D28" i="68"/>
  <c r="D27" i="68"/>
  <c r="D26" i="68"/>
  <c r="D25" i="68"/>
  <c r="D24" i="68"/>
  <c r="D23" i="68"/>
  <c r="D22" i="68"/>
  <c r="D21" i="68"/>
  <c r="D20" i="68"/>
  <c r="D19" i="68"/>
  <c r="D18" i="68"/>
  <c r="D17" i="68"/>
  <c r="D16" i="68"/>
  <c r="D15" i="68"/>
  <c r="D14" i="68"/>
  <c r="C9" i="68"/>
  <c r="C3" i="68"/>
  <c r="D66" i="67"/>
  <c r="D65" i="67"/>
  <c r="D64" i="67"/>
  <c r="D63" i="67"/>
  <c r="D62" i="67"/>
  <c r="D61" i="67"/>
  <c r="D60" i="67"/>
  <c r="D59" i="67"/>
  <c r="D58" i="67"/>
  <c r="D57" i="67"/>
  <c r="D56" i="67"/>
  <c r="D55" i="67"/>
  <c r="D54" i="67"/>
  <c r="D53" i="67"/>
  <c r="D52" i="67"/>
  <c r="D51" i="67"/>
  <c r="D50" i="67"/>
  <c r="D49" i="67"/>
  <c r="D48" i="67"/>
  <c r="D47" i="67"/>
  <c r="D46" i="67"/>
  <c r="D45" i="67"/>
  <c r="D44" i="67"/>
  <c r="D43" i="67"/>
  <c r="D42" i="67"/>
  <c r="D41" i="67"/>
  <c r="D40" i="67"/>
  <c r="D39" i="67"/>
  <c r="D38" i="67"/>
  <c r="D37" i="67"/>
  <c r="D36" i="67"/>
  <c r="D35" i="67"/>
  <c r="D34" i="67"/>
  <c r="D33" i="67"/>
  <c r="D32" i="67"/>
  <c r="D31" i="67"/>
  <c r="D30" i="67"/>
  <c r="D29" i="67"/>
  <c r="D28" i="67"/>
  <c r="D27" i="67"/>
  <c r="D26" i="67"/>
  <c r="D25" i="67"/>
  <c r="D24" i="67"/>
  <c r="D23" i="67"/>
  <c r="D22" i="67"/>
  <c r="D21" i="67"/>
  <c r="D20" i="67"/>
  <c r="D19" i="67"/>
  <c r="D18" i="67"/>
  <c r="D17" i="67"/>
  <c r="D16" i="67"/>
  <c r="D15" i="67"/>
  <c r="D14" i="67"/>
  <c r="C9" i="67"/>
  <c r="C3" i="67"/>
  <c r="D66" i="66"/>
  <c r="D65" i="66"/>
  <c r="D64" i="66"/>
  <c r="D63" i="66"/>
  <c r="D62" i="66"/>
  <c r="D61" i="66"/>
  <c r="D60" i="66"/>
  <c r="D59" i="66"/>
  <c r="D58" i="66"/>
  <c r="D57" i="66"/>
  <c r="D56" i="66"/>
  <c r="D55" i="66"/>
  <c r="D54" i="66"/>
  <c r="D53" i="66"/>
  <c r="D52" i="66"/>
  <c r="D51" i="66"/>
  <c r="D50" i="66"/>
  <c r="D49" i="66"/>
  <c r="D48" i="66"/>
  <c r="D47" i="66"/>
  <c r="D46" i="66"/>
  <c r="D45" i="66"/>
  <c r="D44" i="66"/>
  <c r="D43" i="66"/>
  <c r="D42" i="66"/>
  <c r="D41" i="66"/>
  <c r="D40" i="66"/>
  <c r="D39" i="66"/>
  <c r="D38" i="66"/>
  <c r="D37" i="66"/>
  <c r="D36" i="66"/>
  <c r="D35" i="66"/>
  <c r="D34" i="66"/>
  <c r="D33" i="66"/>
  <c r="D32" i="66"/>
  <c r="D31" i="66"/>
  <c r="D30" i="66"/>
  <c r="D29" i="66"/>
  <c r="D28" i="66"/>
  <c r="D27" i="66"/>
  <c r="D26" i="66"/>
  <c r="D25" i="66"/>
  <c r="D24" i="66"/>
  <c r="D23" i="66"/>
  <c r="D22" i="66"/>
  <c r="D21" i="66"/>
  <c r="D20" i="66"/>
  <c r="D19" i="66"/>
  <c r="D18" i="66"/>
  <c r="D17" i="66"/>
  <c r="D16" i="66"/>
  <c r="D15" i="66"/>
  <c r="D14" i="66"/>
  <c r="C9" i="66"/>
  <c r="C3" i="66"/>
  <c r="D66" i="65"/>
  <c r="D65" i="65"/>
  <c r="D64" i="65"/>
  <c r="D63" i="65"/>
  <c r="D62" i="65"/>
  <c r="D61" i="65"/>
  <c r="D60" i="65"/>
  <c r="D59" i="65"/>
  <c r="D58" i="65"/>
  <c r="D57" i="65"/>
  <c r="D56" i="65"/>
  <c r="D55" i="65"/>
  <c r="D54" i="65"/>
  <c r="D53" i="65"/>
  <c r="D52" i="65"/>
  <c r="D51" i="65"/>
  <c r="D50" i="65"/>
  <c r="D49" i="65"/>
  <c r="D48" i="65"/>
  <c r="D47" i="65"/>
  <c r="D46" i="65"/>
  <c r="D45" i="65"/>
  <c r="D44" i="65"/>
  <c r="D43" i="65"/>
  <c r="D42" i="65"/>
  <c r="D41" i="65"/>
  <c r="D40" i="65"/>
  <c r="D39" i="65"/>
  <c r="D38" i="65"/>
  <c r="D37" i="65"/>
  <c r="D36" i="65"/>
  <c r="D35" i="65"/>
  <c r="D34" i="65"/>
  <c r="D33" i="65"/>
  <c r="D32" i="65"/>
  <c r="D31" i="65"/>
  <c r="D30" i="65"/>
  <c r="D29" i="65"/>
  <c r="D28" i="6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C9" i="65"/>
  <c r="C3" i="65"/>
  <c r="D66" i="64"/>
  <c r="D65" i="64"/>
  <c r="D64" i="64"/>
  <c r="D63" i="64"/>
  <c r="D62" i="64"/>
  <c r="D61" i="64"/>
  <c r="D60" i="64"/>
  <c r="D5" i="64" s="1"/>
  <c r="D6" i="64" s="1"/>
  <c r="D59" i="64"/>
  <c r="D58" i="64"/>
  <c r="D57" i="64"/>
  <c r="D56" i="64"/>
  <c r="D55" i="64"/>
  <c r="D54" i="64"/>
  <c r="D53" i="64"/>
  <c r="D52" i="64"/>
  <c r="D51" i="64"/>
  <c r="D50" i="64"/>
  <c r="D49" i="64"/>
  <c r="D48" i="64"/>
  <c r="D47" i="64"/>
  <c r="D46" i="64"/>
  <c r="D45" i="64"/>
  <c r="D44" i="64"/>
  <c r="D43" i="64"/>
  <c r="D42" i="64"/>
  <c r="D41" i="64"/>
  <c r="D40" i="64"/>
  <c r="D39" i="64"/>
  <c r="D38" i="64"/>
  <c r="D37" i="64"/>
  <c r="D36" i="64"/>
  <c r="D35" i="64"/>
  <c r="D34" i="64"/>
  <c r="D33" i="64"/>
  <c r="D32" i="64"/>
  <c r="D31" i="64"/>
  <c r="D30" i="64"/>
  <c r="D29" i="64"/>
  <c r="D28" i="64"/>
  <c r="D27" i="64"/>
  <c r="D26" i="64"/>
  <c r="D25" i="64"/>
  <c r="D24" i="64"/>
  <c r="D23" i="64"/>
  <c r="D22" i="64"/>
  <c r="D21" i="64"/>
  <c r="D20" i="64"/>
  <c r="D19" i="64"/>
  <c r="D18" i="64"/>
  <c r="D17" i="64"/>
  <c r="D16" i="64"/>
  <c r="D15" i="64"/>
  <c r="D14" i="64"/>
  <c r="C9" i="64"/>
  <c r="C3" i="64"/>
  <c r="C9" i="63"/>
  <c r="C3" i="63"/>
  <c r="D66" i="62"/>
  <c r="D65" i="62"/>
  <c r="D64" i="62"/>
  <c r="D63" i="62"/>
  <c r="D62" i="62"/>
  <c r="D61" i="62"/>
  <c r="D60" i="62"/>
  <c r="D59" i="62"/>
  <c r="D58" i="62"/>
  <c r="D57" i="62"/>
  <c r="D56" i="62"/>
  <c r="D55" i="62"/>
  <c r="D54" i="62"/>
  <c r="D53" i="62"/>
  <c r="D52" i="62"/>
  <c r="D51" i="62"/>
  <c r="D50" i="62"/>
  <c r="D49" i="62"/>
  <c r="D48" i="62"/>
  <c r="D47" i="62"/>
  <c r="D46" i="62"/>
  <c r="D45" i="62"/>
  <c r="D44" i="62"/>
  <c r="D43" i="62"/>
  <c r="D42" i="62"/>
  <c r="D41" i="62"/>
  <c r="D40" i="62"/>
  <c r="D39" i="62"/>
  <c r="D38" i="62"/>
  <c r="D37" i="62"/>
  <c r="D36" i="62"/>
  <c r="D35" i="62"/>
  <c r="D34" i="62"/>
  <c r="D33" i="62"/>
  <c r="D32" i="62"/>
  <c r="D31" i="62"/>
  <c r="D30" i="62"/>
  <c r="D29" i="62"/>
  <c r="D28" i="62"/>
  <c r="D27" i="62"/>
  <c r="D26" i="62"/>
  <c r="D25" i="62"/>
  <c r="D24" i="62"/>
  <c r="D23" i="62"/>
  <c r="D22" i="62"/>
  <c r="D21" i="62"/>
  <c r="D20" i="62"/>
  <c r="D19" i="62"/>
  <c r="D18" i="62"/>
  <c r="D17" i="62"/>
  <c r="D16" i="62"/>
  <c r="D15" i="62"/>
  <c r="D14" i="62"/>
  <c r="C9" i="62"/>
  <c r="C3" i="62"/>
  <c r="D66" i="61"/>
  <c r="D65" i="61"/>
  <c r="D64" i="61"/>
  <c r="D63" i="61"/>
  <c r="D62" i="61"/>
  <c r="D61" i="61"/>
  <c r="D60" i="61"/>
  <c r="D59" i="61"/>
  <c r="D58" i="61"/>
  <c r="D57" i="61"/>
  <c r="D56" i="61"/>
  <c r="D55" i="61"/>
  <c r="D54" i="61"/>
  <c r="D53" i="61"/>
  <c r="D52" i="61"/>
  <c r="D51" i="61"/>
  <c r="D50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D28" i="61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C9" i="61"/>
  <c r="C3" i="61"/>
  <c r="D66" i="60"/>
  <c r="D65" i="60"/>
  <c r="D64" i="60"/>
  <c r="D63" i="60"/>
  <c r="D62" i="60"/>
  <c r="D61" i="60"/>
  <c r="D60" i="60"/>
  <c r="D59" i="60"/>
  <c r="D58" i="60"/>
  <c r="D57" i="60"/>
  <c r="D56" i="60"/>
  <c r="D55" i="60"/>
  <c r="D54" i="60"/>
  <c r="D53" i="60"/>
  <c r="D52" i="60"/>
  <c r="D51" i="60"/>
  <c r="D50" i="60"/>
  <c r="D49" i="60"/>
  <c r="D48" i="60"/>
  <c r="D47" i="60"/>
  <c r="D46" i="60"/>
  <c r="D45" i="60"/>
  <c r="D44" i="60"/>
  <c r="D43" i="60"/>
  <c r="D42" i="60"/>
  <c r="D41" i="60"/>
  <c r="D40" i="60"/>
  <c r="D39" i="60"/>
  <c r="D38" i="60"/>
  <c r="D37" i="60"/>
  <c r="D36" i="60"/>
  <c r="D35" i="60"/>
  <c r="D34" i="60"/>
  <c r="D33" i="60"/>
  <c r="D32" i="60"/>
  <c r="D31" i="60"/>
  <c r="D30" i="60"/>
  <c r="D29" i="60"/>
  <c r="D28" i="60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C9" i="60"/>
  <c r="C3" i="60"/>
  <c r="F12" i="4"/>
  <c r="C5" i="65" l="1"/>
  <c r="C6" i="65" s="1"/>
  <c r="G5" i="64"/>
  <c r="G7" i="64" s="1"/>
  <c r="G5" i="63"/>
  <c r="G7" i="63" s="1"/>
  <c r="G8" i="63" s="1"/>
  <c r="G9" i="63" s="1"/>
  <c r="G5" i="62"/>
  <c r="G7" i="62" s="1"/>
  <c r="G5" i="68"/>
  <c r="G7" i="68" s="1"/>
  <c r="G5" i="66"/>
  <c r="G5" i="65"/>
  <c r="G7" i="65" s="1"/>
  <c r="G5" i="61"/>
  <c r="G7" i="61" s="1"/>
  <c r="G8" i="61" s="1"/>
  <c r="G9" i="61" s="1"/>
  <c r="G5" i="67"/>
  <c r="G8" i="62"/>
  <c r="G9" i="62" s="1"/>
  <c r="G5" i="60"/>
  <c r="G8" i="60" s="1"/>
  <c r="G9" i="60" s="1"/>
  <c r="D5" i="61"/>
  <c r="D6" i="61" s="1"/>
  <c r="G8" i="65"/>
  <c r="G9" i="65" s="1"/>
  <c r="G8" i="69"/>
  <c r="G9" i="69" s="1"/>
  <c r="G8" i="64"/>
  <c r="G9" i="64" s="1"/>
  <c r="G8" i="68"/>
  <c r="G9" i="68" s="1"/>
  <c r="C11" i="69"/>
  <c r="C12" i="69" s="1"/>
  <c r="D11" i="69"/>
  <c r="D12" i="69" s="1"/>
  <c r="D5" i="69"/>
  <c r="D6" i="69" s="1"/>
  <c r="C5" i="69"/>
  <c r="C6" i="69" s="1"/>
  <c r="D11" i="68"/>
  <c r="D12" i="68" s="1"/>
  <c r="C11" i="68"/>
  <c r="C12" i="68" s="1"/>
  <c r="D5" i="68"/>
  <c r="D6" i="68" s="1"/>
  <c r="C5" i="68"/>
  <c r="C6" i="68" s="1"/>
  <c r="C5" i="67"/>
  <c r="C6" i="67" s="1"/>
  <c r="D5" i="67"/>
  <c r="D6" i="67" s="1"/>
  <c r="C11" i="67"/>
  <c r="C12" i="67" s="1"/>
  <c r="D11" i="67"/>
  <c r="D12" i="67" s="1"/>
  <c r="C11" i="66"/>
  <c r="C12" i="66" s="1"/>
  <c r="D11" i="66"/>
  <c r="D12" i="66" s="1"/>
  <c r="C5" i="66"/>
  <c r="C6" i="66" s="1"/>
  <c r="D5" i="66"/>
  <c r="D6" i="66" s="1"/>
  <c r="C11" i="65"/>
  <c r="C12" i="65" s="1"/>
  <c r="D11" i="65"/>
  <c r="D12" i="65" s="1"/>
  <c r="D5" i="65"/>
  <c r="D6" i="65" s="1"/>
  <c r="C5" i="64"/>
  <c r="C6" i="64" s="1"/>
  <c r="C11" i="64"/>
  <c r="C12" i="64" s="1"/>
  <c r="D11" i="64"/>
  <c r="D12" i="64" s="1"/>
  <c r="C11" i="63"/>
  <c r="C12" i="63" s="1"/>
  <c r="C5" i="63"/>
  <c r="C6" i="63" s="1"/>
  <c r="D11" i="63"/>
  <c r="D12" i="63" s="1"/>
  <c r="C5" i="62"/>
  <c r="C6" i="62" s="1"/>
  <c r="D11" i="62"/>
  <c r="D12" i="62" s="1"/>
  <c r="C11" i="62"/>
  <c r="C12" i="62" s="1"/>
  <c r="D5" i="62"/>
  <c r="D6" i="62" s="1"/>
  <c r="C5" i="61"/>
  <c r="C6" i="61" s="1"/>
  <c r="C11" i="61"/>
  <c r="C12" i="61" s="1"/>
  <c r="D11" i="61"/>
  <c r="D12" i="61" s="1"/>
  <c r="D5" i="60"/>
  <c r="D6" i="60" s="1"/>
  <c r="D11" i="60"/>
  <c r="D12" i="60" s="1"/>
  <c r="C11" i="60"/>
  <c r="C12" i="60" s="1"/>
  <c r="C5" i="60"/>
  <c r="C6" i="60" s="1"/>
  <c r="G7" i="67" l="1"/>
  <c r="G8" i="67" s="1"/>
  <c r="G9" i="67" s="1"/>
  <c r="G7" i="66"/>
  <c r="G8" i="66" s="1"/>
  <c r="G9" i="66" s="1"/>
  <c r="H16" i="5"/>
  <c r="H14" i="5"/>
  <c r="F18" i="5"/>
  <c r="H18" i="5" s="1"/>
  <c r="F16" i="5"/>
  <c r="F14" i="5"/>
  <c r="E10" i="5"/>
  <c r="E8" i="5"/>
  <c r="E6" i="5"/>
  <c r="D19" i="5"/>
  <c r="D17" i="5"/>
  <c r="D15" i="5"/>
  <c r="B6" i="5"/>
  <c r="B5" i="5"/>
  <c r="B4" i="5"/>
  <c r="B3" i="5"/>
  <c r="D5" i="5" s="1"/>
  <c r="B12" i="4"/>
  <c r="B14" i="5"/>
  <c r="B15" i="5"/>
  <c r="C3" i="3"/>
  <c r="D3" i="3"/>
  <c r="C9" i="3"/>
  <c r="D9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C5" i="3" l="1"/>
  <c r="C6" i="3" s="1"/>
  <c r="D5" i="3"/>
  <c r="D6" i="3" s="1"/>
  <c r="D11" i="3"/>
  <c r="D12" i="3" s="1"/>
  <c r="C11" i="3"/>
  <c r="C12" i="3" s="1"/>
  <c r="G5" i="3"/>
  <c r="D13" i="4"/>
  <c r="B6" i="4" s="1"/>
  <c r="B7" i="4" s="1"/>
  <c r="F7" i="4"/>
  <c r="I19" i="5"/>
  <c r="B19" i="5"/>
  <c r="B20" i="5"/>
  <c r="G8" i="3" l="1"/>
  <c r="G9" i="3" s="1"/>
  <c r="D7" i="4"/>
  <c r="F13" i="4"/>
  <c r="D12" i="4"/>
  <c r="D7" i="5"/>
  <c r="D9" i="5" l="1"/>
  <c r="B13" i="5" l="1"/>
  <c r="B18" i="5" s="1"/>
  <c r="B21" i="5" s="1"/>
  <c r="B23" i="5" l="1"/>
  <c r="B26" i="5" s="1"/>
  <c r="B24" i="5"/>
  <c r="B27" i="5" s="1"/>
  <c r="B22" i="5"/>
  <c r="B25" i="5" s="1"/>
  <c r="B28" i="5" l="1"/>
  <c r="B29" i="5" s="1"/>
  <c r="B30" i="5" l="1"/>
  <c r="B34" i="5" s="1"/>
  <c r="G8" i="5" s="1"/>
  <c r="B31" i="5"/>
  <c r="B35" i="5" s="1"/>
  <c r="G10" i="5" s="1"/>
  <c r="B33" i="5"/>
  <c r="G6" i="5" s="1"/>
  <c r="I10" i="5" l="1"/>
  <c r="H10" i="5"/>
  <c r="H6" i="5"/>
  <c r="I6" i="5"/>
  <c r="H8" i="5"/>
  <c r="I8" i="5"/>
  <c r="B3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B8436F-748D-488D-8B2B-A71A4F14729A}" keepAlive="1" name="Query - Week,Liana Mercer,Darius Cole,Priya" description="Connection to the 'Week,Liana Mercer,Darius Cole,Priya' query in the workbook." type="5" refreshedVersion="0" background="1" saveData="1">
    <dbPr connection="Provider=Microsoft.Mashup.OleDb.1;Data Source=$Workbook$;Location=&quot;Week,Liana Mercer,Darius Cole,Priya&quot;;Extended Properties=&quot;&quot;" command="SELECT * FROM [Week,Liana Mercer,Darius Cole,Priya]"/>
  </connection>
</connections>
</file>

<file path=xl/sharedStrings.xml><?xml version="1.0" encoding="utf-8"?>
<sst xmlns="http://schemas.openxmlformats.org/spreadsheetml/2006/main" count="1182" uniqueCount="213">
  <si>
    <t>Remaining</t>
  </si>
  <si>
    <t>Earned</t>
  </si>
  <si>
    <t>Pay Rate</t>
  </si>
  <si>
    <t>Hours Remaining</t>
  </si>
  <si>
    <t>Employee ID</t>
  </si>
  <si>
    <t>Total Earned</t>
  </si>
  <si>
    <t>Department</t>
  </si>
  <si>
    <t>Summary</t>
  </si>
  <si>
    <t xml:space="preserve">Name </t>
  </si>
  <si>
    <t>Annual Overview</t>
  </si>
  <si>
    <t>Difference</t>
  </si>
  <si>
    <t>Total Remaining</t>
  </si>
  <si>
    <t>Federal</t>
  </si>
  <si>
    <t>Validation</t>
  </si>
  <si>
    <t>Allocation Adjust</t>
  </si>
  <si>
    <t>AVG % Rate</t>
  </si>
  <si>
    <t>Total</t>
  </si>
  <si>
    <t>Weeks</t>
  </si>
  <si>
    <t>Total Weeks</t>
  </si>
  <si>
    <t>Hours Per Week</t>
  </si>
  <si>
    <t>Year</t>
  </si>
  <si>
    <t>Count</t>
  </si>
  <si>
    <t>Reference Stats</t>
  </si>
  <si>
    <t>Status</t>
  </si>
  <si>
    <t>Supervisor</t>
  </si>
  <si>
    <t xml:space="preserve">Department </t>
  </si>
  <si>
    <t>*Blank tab identifier for calculations</t>
  </si>
  <si>
    <t>Position ID</t>
  </si>
  <si>
    <t>Employee Profile Template</t>
  </si>
  <si>
    <t>Q1</t>
  </si>
  <si>
    <t>Q2</t>
  </si>
  <si>
    <t>Q3</t>
  </si>
  <si>
    <t>Q4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</si>
  <si>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</si>
  <si>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</si>
  <si>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</si>
  <si>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</si>
  <si>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</si>
  <si>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</si>
  <si>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</si>
  <si>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</si>
  <si>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</si>
  <si>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</si>
  <si>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</si>
  <si>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</si>
  <si>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</si>
  <si>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</si>
  <si>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</si>
  <si>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</si>
  <si>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</si>
  <si>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</si>
  <si>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</si>
  <si>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</si>
  <si>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</si>
  <si>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</si>
  <si>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</si>
  <si>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</si>
  <si>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</si>
  <si>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</si>
  <si>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</si>
  <si>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</si>
  <si>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</si>
  <si>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</si>
  <si>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</si>
  <si>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</si>
  <si>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</si>
  <si>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</si>
  <si>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</si>
  <si>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</si>
  <si>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</si>
  <si>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</si>
  <si>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</si>
  <si>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</si>
  <si>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</si>
  <si>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</si>
  <si>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</si>
  <si>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</si>
  <si>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</si>
  <si>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</si>
  <si>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</si>
  <si>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</si>
  <si>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</si>
  <si>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</si>
  <si>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</si>
  <si>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</si>
  <si>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Week 53</t>
  </si>
  <si>
    <t>Grant Type</t>
  </si>
  <si>
    <t>Charges</t>
  </si>
  <si>
    <t>Department Budget Code</t>
  </si>
  <si>
    <t>Department Name</t>
  </si>
  <si>
    <t>Budget Code</t>
  </si>
  <si>
    <t>Job Code</t>
  </si>
  <si>
    <t>Grant Type 1</t>
  </si>
  <si>
    <t>Grant Type 2</t>
  </si>
  <si>
    <t>Earnings</t>
  </si>
  <si>
    <t>Hours</t>
  </si>
  <si>
    <t>Total Hours</t>
  </si>
  <si>
    <t>Allocated</t>
  </si>
  <si>
    <t>Total Allocated</t>
  </si>
  <si>
    <t>Total Budget</t>
  </si>
  <si>
    <t>Budget</t>
  </si>
  <si>
    <t>Payrate1</t>
  </si>
  <si>
    <t>Payrate2</t>
  </si>
  <si>
    <t>Payrate3</t>
  </si>
  <si>
    <t>Payrate1 Count</t>
  </si>
  <si>
    <t>Payrate2 Count</t>
  </si>
  <si>
    <t>Payrate3 Count</t>
  </si>
  <si>
    <t>Payrate1 Max</t>
  </si>
  <si>
    <t>Payrate2 Max</t>
  </si>
  <si>
    <t>Payrate3 Max</t>
  </si>
  <si>
    <t>% Payrate1</t>
  </si>
  <si>
    <t>% Payrate2</t>
  </si>
  <si>
    <t>% Payrate3</t>
  </si>
  <si>
    <t>Payrate1 Adjusted</t>
  </si>
  <si>
    <t>Payrate2 Adjusted</t>
  </si>
  <si>
    <t>Payrate3 Adjusted</t>
  </si>
  <si>
    <t>Payrate1 Sum</t>
  </si>
  <si>
    <t>Payrate2 Sum</t>
  </si>
  <si>
    <t>Payrate3 Sum</t>
  </si>
  <si>
    <t>Payrate1 Final</t>
  </si>
  <si>
    <t>Payrate2 Final</t>
  </si>
  <si>
    <t>Paryate3 Final</t>
  </si>
  <si>
    <t>Payrate1 Final W/Count</t>
  </si>
  <si>
    <t>Payrate2 Final W/Count</t>
  </si>
  <si>
    <t>Payrate3 Final W/Count</t>
  </si>
  <si>
    <t>Earnings Summary</t>
  </si>
  <si>
    <t>Projection Calculator</t>
  </si>
  <si>
    <t>Allocation Type</t>
  </si>
  <si>
    <t>H1</t>
  </si>
  <si>
    <t>H2</t>
  </si>
  <si>
    <t>Allocation Per Employee</t>
  </si>
  <si>
    <t>Projected Earnings</t>
  </si>
  <si>
    <t>Pay Rate Count</t>
  </si>
  <si>
    <t>Projected Allocation Per Employee</t>
  </si>
  <si>
    <t>Liana Mercer</t>
  </si>
  <si>
    <t>Finance</t>
  </si>
  <si>
    <t>Robert Hale</t>
  </si>
  <si>
    <t>E10234</t>
  </si>
  <si>
    <t>Active</t>
  </si>
  <si>
    <t>FIN-7842</t>
  </si>
  <si>
    <t>Darius Cole</t>
  </si>
  <si>
    <t>Priya Deshmukh</t>
  </si>
  <si>
    <t>Mateo Alvarez</t>
  </si>
  <si>
    <t>Hannah Schultz</t>
  </si>
  <si>
    <t>Jamal Washington</t>
  </si>
  <si>
    <t>Chloe Nguyen</t>
  </si>
  <si>
    <t>Ethan Patel</t>
  </si>
  <si>
    <t>Sofia Rossi</t>
  </si>
  <si>
    <t>Caleb Johnson</t>
  </si>
  <si>
    <t>IT Services</t>
  </si>
  <si>
    <t>Human Resources</t>
  </si>
  <si>
    <t>Operations</t>
  </si>
  <si>
    <t>Marketing</t>
  </si>
  <si>
    <t>Security</t>
  </si>
  <si>
    <t>Research</t>
  </si>
  <si>
    <t>Procurement</t>
  </si>
  <si>
    <t>Legal</t>
  </si>
  <si>
    <t>Customer Support</t>
  </si>
  <si>
    <t>Monica Tran</t>
  </si>
  <si>
    <t>Angela Ruiz</t>
  </si>
  <si>
    <t>Steven Clark</t>
  </si>
  <si>
    <t>Olivia Bennett</t>
  </si>
  <si>
    <t>Derek Boone</t>
  </si>
  <si>
    <t>Victor Sandoval</t>
  </si>
  <si>
    <t>Lisa Monroe</t>
  </si>
  <si>
    <t>Gregory Mills</t>
  </si>
  <si>
    <t>Natalie Brooks</t>
  </si>
  <si>
    <t>E10235</t>
  </si>
  <si>
    <t>E10236</t>
  </si>
  <si>
    <t>E10237</t>
  </si>
  <si>
    <t>E10238</t>
  </si>
  <si>
    <t>E10239</t>
  </si>
  <si>
    <t>E10240</t>
  </si>
  <si>
    <t>E10241</t>
  </si>
  <si>
    <t>E10242</t>
  </si>
  <si>
    <t>E10243</t>
  </si>
  <si>
    <t>State</t>
  </si>
  <si>
    <t>Private</t>
  </si>
  <si>
    <t>Corporate</t>
  </si>
  <si>
    <t>On Leave</t>
  </si>
  <si>
    <t>Terminated</t>
  </si>
  <si>
    <t>IT-5521</t>
  </si>
  <si>
    <t>HR-3309</t>
  </si>
  <si>
    <t>OPS-9981</t>
  </si>
  <si>
    <t>MKT-4432</t>
  </si>
  <si>
    <t>SEC-6674</t>
  </si>
  <si>
    <t>RSH-1208</t>
  </si>
  <si>
    <t>PRC-7713</t>
  </si>
  <si>
    <t>LEG-8890</t>
  </si>
  <si>
    <t>CS-5567</t>
  </si>
  <si>
    <t>FIN-01</t>
  </si>
  <si>
    <t>IT-02</t>
  </si>
  <si>
    <t>HR-03</t>
  </si>
  <si>
    <t>OPS-04</t>
  </si>
  <si>
    <t>MKT-05</t>
  </si>
  <si>
    <t>SEC-06</t>
  </si>
  <si>
    <t>RSH-07</t>
  </si>
  <si>
    <t>PRC-08</t>
  </si>
  <si>
    <t>LEG-09</t>
  </si>
  <si>
    <t>CS-10</t>
  </si>
  <si>
    <t>P2001</t>
  </si>
  <si>
    <t>P2002</t>
  </si>
  <si>
    <t>P2003</t>
  </si>
  <si>
    <t>P2004</t>
  </si>
  <si>
    <t>P2005</t>
  </si>
  <si>
    <t>P2006</t>
  </si>
  <si>
    <t>P2007</t>
  </si>
  <si>
    <t>P2008</t>
  </si>
  <si>
    <t>P2009</t>
  </si>
  <si>
    <t>P2010</t>
  </si>
  <si>
    <t>Coporate</t>
  </si>
  <si>
    <t>H1 Remaining</t>
  </si>
  <si>
    <t>H2 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</si>
</sst>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0.0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2"/>
      <color theme="1"/>
      <name val="Georgia"/>
      <family val="1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b/>
      <sz val="14"/>
      <color theme="1"/>
      <name val="Georgia"/>
      <family val="1"/>
    </font>
    <font>
      <sz val="11"/>
      <name val="Georgia"/>
      <family val="1"/>
    </font>
    <font>
      <b/>
      <sz val="12"/>
      <color theme="1"/>
      <name val="Georgia"/>
      <family val="1"/>
    </font>
    <font>
      <b/>
      <sz val="12"/>
      <color rgb="FF3F3F3F"/>
      <name val="Georgia"/>
      <family val="1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thin">
        <color theme="4"/>
      </top>
      <bottom style="medium">
        <color indexed="64"/>
      </bottom>
      <diagonal/>
    </border>
    <border>
      <left/>
      <right style="medium">
        <color indexed="64"/>
      </right>
      <top style="thin">
        <color theme="4"/>
      </top>
      <bottom style="medium">
        <color indexed="64"/>
      </bottom>
      <diagonal/>
    </border>
    <border>
      <left style="medium">
        <color indexed="64"/>
      </left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29" applyNumberFormat="0" applyFill="0" applyAlignment="0" applyProtection="0"/>
  </cellStyleXfs>
  <cellXfs count="154">
    <xf numFmtId="0" fontId="0" fillId="0" borderId="0" xfId="0"/>
    <xf numFmtId="44" fontId="0" fillId="0" borderId="0" xfId="1" applyFont="1"/>
    <xf numFmtId="44" fontId="0" fillId="0" borderId="0" xfId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44" fontId="0" fillId="0" borderId="0" xfId="1" applyFont="1" applyBorder="1"/>
    <xf numFmtId="0" fontId="7" fillId="0" borderId="0" xfId="0" applyFont="1"/>
    <xf numFmtId="44" fontId="7" fillId="0" borderId="0" xfId="1" applyFont="1"/>
    <xf numFmtId="44" fontId="8" fillId="0" borderId="33" xfId="3" applyNumberFormat="1" applyFont="1" applyBorder="1"/>
    <xf numFmtId="44" fontId="8" fillId="0" borderId="31" xfId="3" applyNumberFormat="1" applyFont="1" applyBorder="1"/>
    <xf numFmtId="0" fontId="9" fillId="3" borderId="22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7" fillId="7" borderId="2" xfId="0" applyFont="1" applyFill="1" applyBorder="1" applyAlignment="1" applyProtection="1">
      <alignment horizontal="center" vertical="center"/>
      <protection hidden="1"/>
    </xf>
    <xf numFmtId="0" fontId="7" fillId="7" borderId="2" xfId="0" applyFont="1" applyFill="1" applyBorder="1" applyAlignment="1" applyProtection="1">
      <alignment horizontal="center"/>
      <protection hidden="1"/>
    </xf>
    <xf numFmtId="44" fontId="7" fillId="7" borderId="2" xfId="1" applyFont="1" applyFill="1" applyBorder="1" applyAlignment="1" applyProtection="1">
      <alignment horizontal="right"/>
      <protection hidden="1"/>
    </xf>
    <xf numFmtId="44" fontId="7" fillId="7" borderId="2" xfId="1" applyFont="1" applyFill="1" applyBorder="1" applyProtection="1">
      <protection hidden="1"/>
    </xf>
    <xf numFmtId="0" fontId="7" fillId="7" borderId="2" xfId="0" applyFont="1" applyFill="1" applyBorder="1" applyAlignment="1">
      <alignment horizontal="center" vertical="center"/>
    </xf>
    <xf numFmtId="44" fontId="7" fillId="7" borderId="2" xfId="1" applyFont="1" applyFill="1" applyBorder="1" applyAlignment="1">
      <alignment horizontal="right"/>
    </xf>
    <xf numFmtId="0" fontId="7" fillId="7" borderId="3" xfId="0" applyFont="1" applyFill="1" applyBorder="1" applyAlignment="1" applyProtection="1">
      <alignment horizontal="right"/>
      <protection hidden="1"/>
    </xf>
    <xf numFmtId="44" fontId="7" fillId="0" borderId="7" xfId="0" applyNumberFormat="1" applyFont="1" applyBorder="1"/>
    <xf numFmtId="44" fontId="10" fillId="7" borderId="2" xfId="1" applyFont="1" applyFill="1" applyBorder="1" applyAlignment="1" applyProtection="1">
      <alignment horizontal="right"/>
      <protection hidden="1"/>
    </xf>
    <xf numFmtId="0" fontId="7" fillId="7" borderId="3" xfId="1" applyNumberFormat="1" applyFont="1" applyFill="1" applyBorder="1" applyAlignment="1" applyProtection="1">
      <alignment horizontal="right"/>
      <protection hidden="1"/>
    </xf>
    <xf numFmtId="0" fontId="7" fillId="7" borderId="3" xfId="1" applyNumberFormat="1" applyFont="1" applyFill="1" applyBorder="1" applyAlignment="1">
      <alignment horizontal="right"/>
    </xf>
    <xf numFmtId="0" fontId="7" fillId="7" borderId="2" xfId="0" quotePrefix="1" applyFont="1" applyFill="1" applyBorder="1" applyAlignment="1" applyProtection="1">
      <alignment horizontal="center" vertical="center"/>
      <protection hidden="1"/>
    </xf>
    <xf numFmtId="0" fontId="10" fillId="7" borderId="12" xfId="1" applyNumberFormat="1" applyFont="1" applyFill="1" applyBorder="1" applyAlignment="1" applyProtection="1">
      <alignment horizontal="right"/>
      <protection hidden="1"/>
    </xf>
    <xf numFmtId="2" fontId="7" fillId="0" borderId="4" xfId="0" applyNumberFormat="1" applyFont="1" applyBorder="1"/>
    <xf numFmtId="44" fontId="10" fillId="7" borderId="2" xfId="1" applyFont="1" applyFill="1" applyBorder="1" applyProtection="1">
      <protection hidden="1"/>
    </xf>
    <xf numFmtId="44" fontId="7" fillId="7" borderId="2" xfId="1" applyFont="1" applyFill="1" applyBorder="1" applyAlignment="1" applyProtection="1">
      <alignment horizontal="center" vertical="center"/>
      <protection hidden="1"/>
    </xf>
    <xf numFmtId="44" fontId="7" fillId="7" borderId="2" xfId="1" applyFont="1" applyFill="1" applyBorder="1"/>
    <xf numFmtId="0" fontId="8" fillId="4" borderId="35" xfId="0" applyFont="1" applyFill="1" applyBorder="1" applyAlignment="1">
      <alignment horizontal="center"/>
    </xf>
    <xf numFmtId="0" fontId="7" fillId="5" borderId="10" xfId="0" applyFont="1" applyFill="1" applyBorder="1" applyAlignment="1" applyProtection="1">
      <protection locked="0"/>
    </xf>
    <xf numFmtId="44" fontId="10" fillId="5" borderId="13" xfId="1" applyFont="1" applyFill="1" applyBorder="1" applyAlignment="1" applyProtection="1">
      <protection locked="0"/>
    </xf>
    <xf numFmtId="44" fontId="7" fillId="5" borderId="9" xfId="1" applyFont="1" applyFill="1" applyBorder="1" applyProtection="1">
      <protection locked="0"/>
    </xf>
    <xf numFmtId="0" fontId="8" fillId="4" borderId="18" xfId="0" applyFont="1" applyFill="1" applyBorder="1" applyAlignment="1">
      <alignment horizontal="center"/>
    </xf>
    <xf numFmtId="0" fontId="7" fillId="5" borderId="2" xfId="0" applyFont="1" applyFill="1" applyBorder="1" applyProtection="1">
      <protection locked="0"/>
    </xf>
    <xf numFmtId="44" fontId="10" fillId="5" borderId="2" xfId="1" applyFont="1" applyFill="1" applyBorder="1" applyProtection="1">
      <protection locked="0"/>
    </xf>
    <xf numFmtId="44" fontId="7" fillId="5" borderId="7" xfId="1" applyFont="1" applyFill="1" applyBorder="1" applyProtection="1">
      <protection locked="0"/>
    </xf>
    <xf numFmtId="0" fontId="7" fillId="5" borderId="5" xfId="0" applyFont="1" applyFill="1" applyBorder="1" applyProtection="1">
      <protection locked="0"/>
    </xf>
    <xf numFmtId="44" fontId="10" fillId="5" borderId="5" xfId="1" applyFont="1" applyFill="1" applyBorder="1" applyProtection="1">
      <protection locked="0"/>
    </xf>
    <xf numFmtId="44" fontId="7" fillId="5" borderId="4" xfId="1" applyFont="1" applyFill="1" applyBorder="1" applyProtection="1">
      <protection locked="0"/>
    </xf>
    <xf numFmtId="0" fontId="8" fillId="4" borderId="14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/>
    </xf>
    <xf numFmtId="0" fontId="11" fillId="3" borderId="20" xfId="0" applyFont="1" applyFill="1" applyBorder="1" applyAlignment="1">
      <alignment horizontal="center"/>
    </xf>
    <xf numFmtId="0" fontId="11" fillId="3" borderId="19" xfId="0" applyFont="1" applyFill="1" applyBorder="1" applyAlignment="1">
      <alignment horizontal="center"/>
    </xf>
    <xf numFmtId="0" fontId="11" fillId="3" borderId="18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/>
    </xf>
    <xf numFmtId="0" fontId="7" fillId="0" borderId="30" xfId="3" applyFont="1" applyBorder="1"/>
    <xf numFmtId="0" fontId="7" fillId="0" borderId="32" xfId="3" applyFont="1" applyBorder="1"/>
    <xf numFmtId="0" fontId="9" fillId="0" borderId="34" xfId="0" applyFont="1" applyBorder="1" applyAlignment="1" applyProtection="1">
      <alignment horizontal="center"/>
      <protection hidden="1"/>
    </xf>
    <xf numFmtId="0" fontId="9" fillId="0" borderId="16" xfId="0" applyFont="1" applyBorder="1" applyAlignment="1" applyProtection="1">
      <alignment horizontal="center"/>
      <protection hidden="1"/>
    </xf>
    <xf numFmtId="0" fontId="9" fillId="0" borderId="25" xfId="0" applyFont="1" applyBorder="1" applyAlignment="1" applyProtection="1">
      <alignment horizontal="center"/>
      <protection hidden="1"/>
    </xf>
    <xf numFmtId="0" fontId="11" fillId="6" borderId="13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8" xfId="0" applyFont="1" applyFill="1" applyBorder="1" applyAlignment="1" applyProtection="1">
      <alignment horizontal="center" vertical="center"/>
      <protection hidden="1"/>
    </xf>
    <xf numFmtId="0" fontId="11" fillId="6" borderId="2" xfId="0" applyFont="1" applyFill="1" applyBorder="1" applyAlignment="1">
      <alignment horizontal="center" vertical="center"/>
    </xf>
    <xf numFmtId="0" fontId="11" fillId="6" borderId="6" xfId="0" applyFont="1" applyFill="1" applyBorder="1" applyAlignment="1" applyProtection="1">
      <alignment horizontal="center" vertical="center"/>
      <protection hidden="1"/>
    </xf>
    <xf numFmtId="0" fontId="11" fillId="6" borderId="5" xfId="0" applyFont="1" applyFill="1" applyBorder="1" applyAlignment="1" applyProtection="1">
      <alignment horizontal="center" vertical="center"/>
      <protection hidden="1"/>
    </xf>
    <xf numFmtId="0" fontId="11" fillId="6" borderId="10" xfId="0" applyFont="1" applyFill="1" applyBorder="1" applyAlignment="1">
      <alignment horizontal="center" vertical="center"/>
    </xf>
    <xf numFmtId="0" fontId="11" fillId="4" borderId="9" xfId="0" applyFont="1" applyFill="1" applyBorder="1"/>
    <xf numFmtId="0" fontId="11" fillId="6" borderId="7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/>
    </xf>
    <xf numFmtId="0" fontId="6" fillId="0" borderId="0" xfId="0" applyFont="1"/>
    <xf numFmtId="0" fontId="11" fillId="0" borderId="11" xfId="0" applyFont="1" applyBorder="1" applyAlignment="1" applyProtection="1">
      <alignment horizontal="center"/>
      <protection hidden="1"/>
    </xf>
    <xf numFmtId="0" fontId="11" fillId="0" borderId="10" xfId="0" applyFont="1" applyBorder="1" applyAlignment="1" applyProtection="1">
      <alignment horizontal="center"/>
      <protection hidden="1"/>
    </xf>
    <xf numFmtId="0" fontId="7" fillId="0" borderId="0" xfId="0" applyFont="1" applyProtection="1">
      <protection hidden="1"/>
    </xf>
    <xf numFmtId="44" fontId="7" fillId="0" borderId="0" xfId="0" applyNumberFormat="1" applyFont="1" applyProtection="1">
      <protection hidden="1"/>
    </xf>
    <xf numFmtId="0" fontId="7" fillId="11" borderId="16" xfId="0" applyFont="1" applyFill="1" applyBorder="1" applyAlignment="1">
      <alignment horizontal="center"/>
    </xf>
    <xf numFmtId="0" fontId="7" fillId="11" borderId="25" xfId="0" applyFont="1" applyFill="1" applyBorder="1" applyAlignment="1">
      <alignment horizontal="center"/>
    </xf>
    <xf numFmtId="44" fontId="7" fillId="0" borderId="0" xfId="1" applyFont="1" applyProtection="1">
      <protection hidden="1"/>
    </xf>
    <xf numFmtId="44" fontId="7" fillId="0" borderId="24" xfId="0" applyNumberFormat="1" applyFont="1" applyBorder="1"/>
    <xf numFmtId="0" fontId="7" fillId="9" borderId="0" xfId="0" applyFont="1" applyFill="1" applyAlignment="1">
      <alignment horizontal="center"/>
    </xf>
    <xf numFmtId="44" fontId="7" fillId="0" borderId="0" xfId="0" applyNumberFormat="1" applyFont="1"/>
    <xf numFmtId="1" fontId="7" fillId="0" borderId="0" xfId="0" applyNumberFormat="1" applyFont="1" applyAlignment="1" applyProtection="1">
      <alignment horizontal="center"/>
      <protection locked="0"/>
    </xf>
    <xf numFmtId="44" fontId="7" fillId="0" borderId="18" xfId="0" applyNumberFormat="1" applyFont="1" applyBorder="1"/>
    <xf numFmtId="1" fontId="7" fillId="0" borderId="0" xfId="0" applyNumberFormat="1" applyFont="1" applyProtection="1">
      <protection hidden="1"/>
    </xf>
    <xf numFmtId="0" fontId="7" fillId="9" borderId="18" xfId="0" applyFont="1" applyFill="1" applyBorder="1" applyAlignment="1">
      <alignment horizontal="center"/>
    </xf>
    <xf numFmtId="44" fontId="7" fillId="0" borderId="15" xfId="0" applyNumberFormat="1" applyFont="1" applyBorder="1"/>
    <xf numFmtId="1" fontId="7" fillId="0" borderId="15" xfId="0" applyNumberFormat="1" applyFont="1" applyBorder="1" applyAlignment="1" applyProtection="1">
      <alignment horizontal="center"/>
      <protection locked="0"/>
    </xf>
    <xf numFmtId="44" fontId="7" fillId="0" borderId="14" xfId="0" applyNumberFormat="1" applyFont="1" applyBorder="1"/>
    <xf numFmtId="2" fontId="7" fillId="0" borderId="24" xfId="0" applyNumberFormat="1" applyFont="1" applyBorder="1" applyAlignment="1">
      <alignment horizontal="center"/>
    </xf>
    <xf numFmtId="1" fontId="7" fillId="0" borderId="24" xfId="0" applyNumberFormat="1" applyFont="1" applyBorder="1" applyAlignment="1">
      <alignment horizontal="center"/>
    </xf>
    <xf numFmtId="0" fontId="7" fillId="0" borderId="0" xfId="0" applyFont="1" applyAlignment="1" applyProtection="1">
      <alignment horizontal="center" vertical="center"/>
      <protection locked="0"/>
    </xf>
    <xf numFmtId="44" fontId="7" fillId="0" borderId="0" xfId="1" applyFont="1" applyBorder="1" applyAlignment="1"/>
    <xf numFmtId="0" fontId="7" fillId="0" borderId="0" xfId="0" applyFont="1" applyProtection="1">
      <protection locked="0"/>
    </xf>
    <xf numFmtId="44" fontId="7" fillId="0" borderId="0" xfId="1" applyFont="1" applyBorder="1" applyAlignment="1">
      <alignment horizontal="center"/>
    </xf>
    <xf numFmtId="44" fontId="7" fillId="0" borderId="18" xfId="1" applyFont="1" applyBorder="1" applyAlignment="1">
      <alignment horizontal="center"/>
    </xf>
    <xf numFmtId="44" fontId="7" fillId="10" borderId="0" xfId="1" applyFont="1" applyFill="1" applyBorder="1" applyAlignment="1">
      <alignment horizontal="center"/>
    </xf>
    <xf numFmtId="44" fontId="7" fillId="10" borderId="18" xfId="1" applyFont="1" applyFill="1" applyBorder="1" applyAlignment="1">
      <alignment horizontal="center"/>
    </xf>
    <xf numFmtId="164" fontId="7" fillId="0" borderId="0" xfId="1" applyNumberFormat="1" applyFont="1" applyProtection="1">
      <protection hidden="1"/>
    </xf>
    <xf numFmtId="1" fontId="7" fillId="0" borderId="0" xfId="1" applyNumberFormat="1" applyFont="1" applyProtection="1">
      <protection hidden="1"/>
    </xf>
    <xf numFmtId="0" fontId="7" fillId="0" borderId="15" xfId="0" applyFont="1" applyBorder="1" applyAlignment="1" applyProtection="1">
      <alignment horizontal="center" vertical="center"/>
      <protection locked="0"/>
    </xf>
    <xf numFmtId="44" fontId="7" fillId="0" borderId="15" xfId="1" applyFont="1" applyBorder="1" applyAlignment="1"/>
    <xf numFmtId="0" fontId="7" fillId="0" borderId="15" xfId="0" applyFont="1" applyBorder="1" applyProtection="1">
      <protection locked="0"/>
    </xf>
    <xf numFmtId="44" fontId="7" fillId="0" borderId="15" xfId="1" applyFont="1" applyBorder="1" applyAlignment="1">
      <alignment horizontal="center"/>
    </xf>
    <xf numFmtId="44" fontId="7" fillId="0" borderId="14" xfId="1" applyFont="1" applyBorder="1" applyAlignment="1">
      <alignment horizontal="center"/>
    </xf>
    <xf numFmtId="1" fontId="7" fillId="0" borderId="23" xfId="0" applyNumberFormat="1" applyFont="1" applyBorder="1" applyAlignment="1">
      <alignment horizontal="center"/>
    </xf>
    <xf numFmtId="44" fontId="7" fillId="0" borderId="14" xfId="1" applyFont="1" applyBorder="1" applyAlignment="1">
      <alignment horizontal="center"/>
    </xf>
    <xf numFmtId="0" fontId="11" fillId="9" borderId="26" xfId="0" applyFont="1" applyFill="1" applyBorder="1" applyAlignment="1">
      <alignment horizontal="center"/>
    </xf>
    <xf numFmtId="0" fontId="11" fillId="9" borderId="24" xfId="0" applyFont="1" applyFill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11" fillId="9" borderId="0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18" xfId="0" applyFont="1" applyFill="1" applyBorder="1" applyAlignment="1">
      <alignment horizontal="center"/>
    </xf>
    <xf numFmtId="0" fontId="11" fillId="8" borderId="16" xfId="0" applyFont="1" applyFill="1" applyBorder="1" applyAlignment="1">
      <alignment horizontal="center"/>
    </xf>
    <xf numFmtId="0" fontId="11" fillId="8" borderId="25" xfId="0" applyFont="1" applyFill="1" applyBorder="1" applyAlignment="1">
      <alignment horizontal="center"/>
    </xf>
    <xf numFmtId="0" fontId="11" fillId="10" borderId="0" xfId="0" applyFont="1" applyFill="1"/>
    <xf numFmtId="0" fontId="11" fillId="10" borderId="0" xfId="0" applyFont="1" applyFill="1" applyAlignment="1">
      <alignment horizontal="center"/>
    </xf>
    <xf numFmtId="0" fontId="11" fillId="10" borderId="18" xfId="0" applyFont="1" applyFill="1" applyBorder="1" applyAlignment="1">
      <alignment horizontal="center"/>
    </xf>
    <xf numFmtId="44" fontId="11" fillId="8" borderId="16" xfId="1" applyFont="1" applyFill="1" applyBorder="1" applyAlignment="1">
      <alignment horizontal="center"/>
    </xf>
    <xf numFmtId="0" fontId="9" fillId="11" borderId="27" xfId="0" applyFont="1" applyFill="1" applyBorder="1" applyAlignment="1">
      <alignment horizontal="center"/>
    </xf>
    <xf numFmtId="0" fontId="9" fillId="11" borderId="16" xfId="0" applyFont="1" applyFill="1" applyBorder="1" applyAlignment="1">
      <alignment horizontal="center"/>
    </xf>
    <xf numFmtId="0" fontId="9" fillId="11" borderId="25" xfId="0" applyFont="1" applyFill="1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44" fontId="7" fillId="0" borderId="0" xfId="1" applyFont="1" applyAlignment="1" applyProtection="1">
      <alignment horizontal="center"/>
      <protection locked="0"/>
    </xf>
    <xf numFmtId="0" fontId="12" fillId="2" borderId="28" xfId="2" applyFont="1" applyBorder="1" applyAlignment="1">
      <alignment horizontal="center" vertical="center" wrapText="1"/>
    </xf>
    <xf numFmtId="44" fontId="12" fillId="2" borderId="28" xfId="1" applyFont="1" applyFill="1" applyBorder="1" applyAlignment="1">
      <alignment horizontal="center" vertical="center" wrapText="1"/>
    </xf>
    <xf numFmtId="0" fontId="11" fillId="0" borderId="0" xfId="0" applyFont="1"/>
    <xf numFmtId="0" fontId="0" fillId="0" borderId="0" xfId="0" applyFont="1"/>
    <xf numFmtId="2" fontId="0" fillId="0" borderId="0" xfId="0" applyNumberFormat="1" applyFont="1"/>
    <xf numFmtId="0" fontId="7" fillId="0" borderId="19" xfId="0" applyFont="1" applyBorder="1"/>
    <xf numFmtId="44" fontId="7" fillId="0" borderId="18" xfId="1" applyFont="1" applyBorder="1" applyProtection="1">
      <protection locked="0"/>
    </xf>
    <xf numFmtId="7" fontId="7" fillId="0" borderId="18" xfId="1" applyNumberFormat="1" applyFont="1" applyBorder="1"/>
    <xf numFmtId="0" fontId="7" fillId="0" borderId="19" xfId="0" quotePrefix="1" applyNumberFormat="1" applyFont="1" applyBorder="1" applyAlignment="1">
      <alignment horizontal="left"/>
    </xf>
    <xf numFmtId="44" fontId="7" fillId="0" borderId="18" xfId="1" applyFont="1" applyBorder="1"/>
    <xf numFmtId="7" fontId="0" fillId="0" borderId="0" xfId="0" applyNumberFormat="1" applyFont="1"/>
    <xf numFmtId="44" fontId="0" fillId="0" borderId="0" xfId="0" applyNumberFormat="1" applyFont="1"/>
    <xf numFmtId="0" fontId="7" fillId="3" borderId="17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44" fontId="7" fillId="0" borderId="7" xfId="1" applyFont="1" applyBorder="1" applyAlignment="1">
      <alignment horizontal="center"/>
    </xf>
    <xf numFmtId="14" fontId="7" fillId="5" borderId="11" xfId="0" applyNumberFormat="1" applyFont="1" applyFill="1" applyBorder="1" applyAlignment="1">
      <alignment horizontal="center"/>
    </xf>
    <xf numFmtId="14" fontId="7" fillId="5" borderId="8" xfId="0" applyNumberFormat="1" applyFont="1" applyFill="1" applyBorder="1" applyAlignment="1">
      <alignment horizontal="center"/>
    </xf>
    <xf numFmtId="14" fontId="7" fillId="5" borderId="8" xfId="0" applyNumberFormat="1" applyFont="1" applyFill="1" applyBorder="1" applyAlignment="1" applyProtection="1">
      <alignment horizontal="center"/>
      <protection locked="0"/>
    </xf>
    <xf numFmtId="14" fontId="7" fillId="5" borderId="6" xfId="0" applyNumberFormat="1" applyFont="1" applyFill="1" applyBorder="1" applyAlignment="1" applyProtection="1">
      <alignment horizontal="center"/>
      <protection locked="0"/>
    </xf>
    <xf numFmtId="2" fontId="7" fillId="0" borderId="7" xfId="1" applyNumberFormat="1" applyFont="1" applyBorder="1"/>
    <xf numFmtId="2" fontId="7" fillId="0" borderId="7" xfId="0" applyNumberFormat="1" applyFont="1" applyBorder="1"/>
    <xf numFmtId="2" fontId="7" fillId="5" borderId="10" xfId="0" applyNumberFormat="1" applyFont="1" applyFill="1" applyBorder="1" applyAlignment="1" applyProtection="1">
      <protection locked="0"/>
    </xf>
    <xf numFmtId="2" fontId="7" fillId="5" borderId="2" xfId="0" applyNumberFormat="1" applyFont="1" applyFill="1" applyBorder="1" applyProtection="1">
      <protection locked="0"/>
    </xf>
    <xf numFmtId="2" fontId="7" fillId="5" borderId="5" xfId="0" applyNumberFormat="1" applyFont="1" applyFill="1" applyBorder="1" applyProtection="1">
      <protection locked="0"/>
    </xf>
    <xf numFmtId="44" fontId="7" fillId="5" borderId="9" xfId="1" applyNumberFormat="1" applyFont="1" applyFill="1" applyBorder="1" applyProtection="1">
      <protection locked="0"/>
    </xf>
    <xf numFmtId="44" fontId="7" fillId="5" borderId="7" xfId="1" applyNumberFormat="1" applyFont="1" applyFill="1" applyBorder="1" applyProtection="1">
      <protection locked="0"/>
    </xf>
    <xf numFmtId="44" fontId="7" fillId="5" borderId="4" xfId="1" applyNumberFormat="1" applyFont="1" applyFill="1" applyBorder="1" applyProtection="1">
      <protection locked="0"/>
    </xf>
    <xf numFmtId="0" fontId="12" fillId="2" borderId="28" xfId="1" applyNumberFormat="1" applyFont="1" applyFill="1" applyBorder="1" applyAlignment="1">
      <alignment horizontal="center" vertical="center" wrapText="1"/>
    </xf>
    <xf numFmtId="0" fontId="7" fillId="0" borderId="0" xfId="1" applyNumberFormat="1" applyFont="1" applyAlignment="1" applyProtection="1">
      <alignment horizontal="center"/>
      <protection locked="0"/>
    </xf>
  </cellXfs>
  <cellStyles count="4">
    <cellStyle name="Currency" xfId="1" builtinId="4"/>
    <cellStyle name="Normal" xfId="0" builtinId="0"/>
    <cellStyle name="Output" xfId="2" builtinId="21"/>
    <cellStyle name="Total" xfId="3" builtinId="2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name val="Georgia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3F3F3F"/>
        </left>
        <right style="thin">
          <color rgb="FF3F3F3F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name val="Georgia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3F3F3F"/>
        </left>
        <right style="thin">
          <color rgb="FF3F3F3F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Georgia"/>
        <family val="1"/>
        <scheme val="none"/>
      </font>
      <alignment horizontal="center" vertical="bottom" textRotation="0" indent="0" justifyLastLine="0" shrinkToFit="0" readingOrder="0"/>
      <protection locked="0" hidden="0"/>
    </dxf>
    <dxf>
      <border outline="0">
        <top style="thin">
          <color rgb="FF3F3F3F"/>
        </top>
      </border>
    </dxf>
    <dxf>
      <border outline="0">
        <top style="thin">
          <color rgb="FF3F3F3F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2</xdr:row>
          <xdr:rowOff>66675</xdr:rowOff>
        </xdr:from>
        <xdr:to>
          <xdr:col>6</xdr:col>
          <xdr:colOff>1247775</xdr:colOff>
          <xdr:row>4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34F096-4612-4987-98B9-BAC3CD2E2B98}" name="Table15" displayName="Table15" ref="A1:H11" totalsRowShown="0" headerRowDxfId="9" dataDxfId="10" tableBorderDxfId="19" headerRowCellStyle="Output">
  <autoFilter ref="A1:H11" xr:uid="{42957FFB-DEA1-44BE-AED3-B50AC255E39F}"/>
  <sortState xmlns:xlrd2="http://schemas.microsoft.com/office/spreadsheetml/2017/richdata2" ref="A2:H2">
    <sortCondition ref="A1:A2"/>
  </sortState>
  <tableColumns count="8">
    <tableColumn id="1" xr3:uid="{01536A04-C5CA-4777-8DAD-D8D3F70EF642}" name="Name " dataDxfId="17"/>
    <tableColumn id="3" xr3:uid="{71051CBA-47EF-4267-9095-9BECD1B0CBFD}" name="Department " dataDxfId="16"/>
    <tableColumn id="8" xr3:uid="{016AB20C-4EC1-453F-BBD0-8E0BF94EB551}" name="Supervisor" dataDxfId="15"/>
    <tableColumn id="2" xr3:uid="{B646C47B-B020-4341-865A-9DFCA8805160}" name="Employee ID" dataDxfId="14"/>
    <tableColumn id="7" xr3:uid="{14C86556-FF27-43F2-A9A7-91D6ABBBB0C5}" name="Grant Type" dataDxfId="13"/>
    <tableColumn id="4" xr3:uid="{F04A1E74-ED0C-4F06-B3F5-F710F2107200}" name="Pay Rate" dataDxfId="12" dataCellStyle="Currency"/>
    <tableColumn id="17" xr3:uid="{000227D0-8C6E-4FE8-A3E8-4279E260B16F}" name="Status" dataDxfId="0" dataCellStyle="Currency"/>
    <tableColumn id="5" xr3:uid="{16D76C6B-2080-4569-BE70-57EB58F96558}" name="Department Budget Code" dataDxfId="11" dataCellStyle="Currency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63024E-B52C-4A37-9DF5-2C68BDFB436F}" name="Table153" displayName="Table153" ref="A1:F11" totalsRowShown="0" headerRowDxfId="1" dataDxfId="2" tableBorderDxfId="18" headerRowCellStyle="Output">
  <autoFilter ref="A1:F11" xr:uid="{42957FFB-DEA1-44BE-AED3-B50AC255E39F}"/>
  <sortState xmlns:xlrd2="http://schemas.microsoft.com/office/spreadsheetml/2017/richdata2" ref="A2:F2">
    <sortCondition ref="A1:A2"/>
  </sortState>
  <tableColumns count="6">
    <tableColumn id="1" xr3:uid="{CC783811-C7FA-4CE9-B748-7CED74B079D1}" name="Department Name" dataDxfId="8"/>
    <tableColumn id="2" xr3:uid="{560514FA-73DF-4293-9109-AAA18D601CCD}" name="Supervisor" dataDxfId="7"/>
    <tableColumn id="3" xr3:uid="{34623397-D19C-495F-A932-DE438FE1D77F}" name="Job Code" dataDxfId="6" dataCellStyle="Currency"/>
    <tableColumn id="6" xr3:uid="{3AD347C9-4809-4C75-9DD1-62EF4B416387}" name="Position ID" dataDxfId="5" dataCellStyle="Currency"/>
    <tableColumn id="7" xr3:uid="{060F0BEB-E6A3-4512-883A-31295C385619}" name="Pay Rate" dataDxfId="4" dataCellStyle="Currency"/>
    <tableColumn id="5" xr3:uid="{54E44B83-3C0B-4C7E-AA0C-67C6BB459D10}" name="Budget Code" dataDxfId="3" dataCellStyle="Currency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FF5B3-F919-48EC-87BA-5EAC323CD652}">
  <sheetPr codeName="Sheet2">
    <tabColor rgb="FF00B0F0"/>
  </sheetPr>
  <dimension ref="A1:G66"/>
  <sheetViews>
    <sheetView workbookViewId="0">
      <selection activeCell="G9" sqref="G9"/>
    </sheetView>
  </sheetViews>
  <sheetFormatPr defaultRowHeight="14.25" x14ac:dyDescent="0.2"/>
  <cols>
    <col min="1" max="1" width="16.42578125" style="5" bestFit="1" customWidth="1"/>
    <col min="2" max="2" width="28.85546875" style="5" customWidth="1"/>
    <col min="3" max="3" width="20.42578125" style="5" customWidth="1"/>
    <col min="4" max="4" width="21.28515625" style="5" customWidth="1"/>
    <col min="5" max="5" width="14.28515625" style="5" bestFit="1" customWidth="1"/>
    <col min="6" max="6" width="19" style="5" bestFit="1" customWidth="1"/>
    <col min="7" max="7" width="18.5703125" style="5" customWidth="1"/>
    <col min="8" max="16384" width="9.140625" style="5"/>
  </cols>
  <sheetData>
    <row r="1" spans="1:7" ht="18.75" thickBot="1" x14ac:dyDescent="0.3">
      <c r="A1" s="52" t="s">
        <v>28</v>
      </c>
      <c r="B1" s="53"/>
      <c r="C1" s="53"/>
      <c r="D1" s="53"/>
      <c r="E1" s="54"/>
      <c r="F1" s="67"/>
      <c r="G1" s="67"/>
    </row>
    <row r="2" spans="1:7" ht="15" x14ac:dyDescent="0.2">
      <c r="A2" s="68" t="s">
        <v>9</v>
      </c>
      <c r="B2" s="69"/>
      <c r="C2" s="61" t="s">
        <v>29</v>
      </c>
      <c r="D2" s="61" t="s">
        <v>30</v>
      </c>
      <c r="E2" s="62"/>
      <c r="F2" s="55" t="s">
        <v>87</v>
      </c>
      <c r="G2" s="56"/>
    </row>
    <row r="3" spans="1:7" ht="15" x14ac:dyDescent="0.2">
      <c r="A3" s="57" t="s">
        <v>8</v>
      </c>
      <c r="B3" s="15"/>
      <c r="C3" s="16">
        <f>SUM(B14:B21)</f>
        <v>0</v>
      </c>
      <c r="D3" s="16">
        <f>SUM(B60:B66)</f>
        <v>0</v>
      </c>
      <c r="E3" s="63" t="s">
        <v>95</v>
      </c>
      <c r="F3" s="138">
        <v>0</v>
      </c>
      <c r="G3" s="139"/>
    </row>
    <row r="4" spans="1:7" ht="15" x14ac:dyDescent="0.2">
      <c r="A4" s="57"/>
      <c r="B4" s="15"/>
      <c r="C4" s="17">
        <v>0</v>
      </c>
      <c r="D4" s="18">
        <v>0</v>
      </c>
      <c r="E4" s="63" t="s">
        <v>97</v>
      </c>
      <c r="F4" s="64" t="s">
        <v>7</v>
      </c>
      <c r="G4" s="65"/>
    </row>
    <row r="5" spans="1:7" ht="15" x14ac:dyDescent="0.2">
      <c r="A5" s="57" t="s">
        <v>6</v>
      </c>
      <c r="B5" s="19"/>
      <c r="C5" s="20">
        <f>SUM(D14:D21)</f>
        <v>0</v>
      </c>
      <c r="D5" s="18">
        <f>SUM(D60:D66)</f>
        <v>0</v>
      </c>
      <c r="E5" s="63" t="s">
        <v>1</v>
      </c>
      <c r="F5" s="21" t="s">
        <v>96</v>
      </c>
      <c r="G5" s="145">
        <f>C3+C9+D9+D3</f>
        <v>0</v>
      </c>
    </row>
    <row r="6" spans="1:7" ht="15" x14ac:dyDescent="0.2">
      <c r="A6" s="57"/>
      <c r="B6" s="19"/>
      <c r="C6" s="23">
        <f>C4-C5</f>
        <v>0</v>
      </c>
      <c r="D6" s="18">
        <f>D4-D5</f>
        <v>0</v>
      </c>
      <c r="E6" s="63" t="s">
        <v>0</v>
      </c>
      <c r="F6" s="21" t="s">
        <v>98</v>
      </c>
      <c r="G6" s="22">
        <f>C4+C10+D4+D10</f>
        <v>0</v>
      </c>
    </row>
    <row r="7" spans="1:7" ht="15" customHeight="1" x14ac:dyDescent="0.2">
      <c r="A7" s="57" t="s">
        <v>4</v>
      </c>
      <c r="B7" s="19"/>
      <c r="C7" s="58" t="s">
        <v>31</v>
      </c>
      <c r="D7" s="58" t="s">
        <v>32</v>
      </c>
      <c r="E7" s="66"/>
      <c r="F7" s="24" t="s">
        <v>5</v>
      </c>
      <c r="G7" s="22">
        <f>G5*B11</f>
        <v>0</v>
      </c>
    </row>
    <row r="8" spans="1:7" x14ac:dyDescent="0.2">
      <c r="A8" s="57"/>
      <c r="B8" s="19"/>
      <c r="C8" s="58"/>
      <c r="D8" s="58"/>
      <c r="E8" s="66"/>
      <c r="F8" s="25" t="s">
        <v>11</v>
      </c>
      <c r="G8" s="22">
        <f>(G7-G6)+F3</f>
        <v>0</v>
      </c>
    </row>
    <row r="9" spans="1:7" ht="15.75" thickBot="1" x14ac:dyDescent="0.25">
      <c r="A9" s="57" t="s">
        <v>86</v>
      </c>
      <c r="B9" s="19"/>
      <c r="C9" s="26">
        <f>SUM(B22:B37)</f>
        <v>0</v>
      </c>
      <c r="D9" s="26">
        <f>SUM(B41:B59)</f>
        <v>0</v>
      </c>
      <c r="E9" s="63" t="s">
        <v>95</v>
      </c>
      <c r="F9" s="27" t="s">
        <v>3</v>
      </c>
      <c r="G9" s="28">
        <f>IFERROR(G8/B11, 0)</f>
        <v>0</v>
      </c>
    </row>
    <row r="10" spans="1:7" ht="15" x14ac:dyDescent="0.2">
      <c r="A10" s="57"/>
      <c r="B10" s="19"/>
      <c r="C10" s="29">
        <v>0</v>
      </c>
      <c r="D10" s="18">
        <v>0</v>
      </c>
      <c r="E10" s="63" t="s">
        <v>97</v>
      </c>
    </row>
    <row r="11" spans="1:7" ht="15" x14ac:dyDescent="0.2">
      <c r="A11" s="57" t="s">
        <v>2</v>
      </c>
      <c r="B11" s="30"/>
      <c r="C11" s="31">
        <f>SUM(D22:D37)</f>
        <v>0</v>
      </c>
      <c r="D11" s="18">
        <f>SUM(D38:D59)</f>
        <v>0</v>
      </c>
      <c r="E11" s="63" t="s">
        <v>1</v>
      </c>
    </row>
    <row r="12" spans="1:7" ht="15" x14ac:dyDescent="0.2">
      <c r="A12" s="57"/>
      <c r="B12" s="30"/>
      <c r="C12" s="18">
        <f>C10-C11</f>
        <v>0</v>
      </c>
      <c r="D12" s="18">
        <f>D10-D11</f>
        <v>0</v>
      </c>
      <c r="E12" s="63" t="s">
        <v>0</v>
      </c>
    </row>
    <row r="13" spans="1:7" ht="18.75" customHeight="1" thickBot="1" x14ac:dyDescent="0.25">
      <c r="A13" s="59" t="s">
        <v>17</v>
      </c>
      <c r="B13" s="60" t="s">
        <v>95</v>
      </c>
      <c r="C13" s="60" t="s">
        <v>87</v>
      </c>
      <c r="D13" s="60" t="s">
        <v>94</v>
      </c>
      <c r="E13" s="32"/>
    </row>
    <row r="14" spans="1:7" x14ac:dyDescent="0.2">
      <c r="A14" s="140" t="s">
        <v>33</v>
      </c>
      <c r="B14" s="33">
        <v>0</v>
      </c>
      <c r="C14" s="34">
        <v>0</v>
      </c>
      <c r="D14" s="35">
        <f t="shared" ref="D14:D45" si="0">B14*$B$11</f>
        <v>0</v>
      </c>
      <c r="E14" s="36"/>
    </row>
    <row r="15" spans="1:7" x14ac:dyDescent="0.2">
      <c r="A15" s="141" t="s">
        <v>34</v>
      </c>
      <c r="B15" s="37">
        <v>0</v>
      </c>
      <c r="C15" s="38">
        <v>0</v>
      </c>
      <c r="D15" s="39">
        <f t="shared" si="0"/>
        <v>0</v>
      </c>
      <c r="E15" s="36"/>
    </row>
    <row r="16" spans="1:7" x14ac:dyDescent="0.2">
      <c r="A16" s="141" t="s">
        <v>35</v>
      </c>
      <c r="B16" s="37">
        <v>0</v>
      </c>
      <c r="C16" s="38">
        <v>0</v>
      </c>
      <c r="D16" s="39">
        <f t="shared" si="0"/>
        <v>0</v>
      </c>
      <c r="E16" s="36"/>
    </row>
    <row r="17" spans="1:5" x14ac:dyDescent="0.2">
      <c r="A17" s="141" t="s">
        <v>36</v>
      </c>
      <c r="B17" s="37">
        <v>0</v>
      </c>
      <c r="C17" s="38">
        <v>0</v>
      </c>
      <c r="D17" s="39">
        <f t="shared" si="0"/>
        <v>0</v>
      </c>
      <c r="E17" s="36"/>
    </row>
    <row r="18" spans="1:5" x14ac:dyDescent="0.2">
      <c r="A18" s="141" t="s">
        <v>37</v>
      </c>
      <c r="B18" s="37">
        <v>0</v>
      </c>
      <c r="C18" s="38">
        <v>0</v>
      </c>
      <c r="D18" s="39">
        <f t="shared" si="0"/>
        <v>0</v>
      </c>
      <c r="E18" s="36"/>
    </row>
    <row r="19" spans="1:5" x14ac:dyDescent="0.2">
      <c r="A19" s="141" t="s">
        <v>38</v>
      </c>
      <c r="B19" s="37">
        <v>0</v>
      </c>
      <c r="C19" s="38">
        <v>0</v>
      </c>
      <c r="D19" s="39">
        <f t="shared" si="0"/>
        <v>0</v>
      </c>
      <c r="E19" s="36"/>
    </row>
    <row r="20" spans="1:5" x14ac:dyDescent="0.2">
      <c r="A20" s="141" t="s">
        <v>39</v>
      </c>
      <c r="B20" s="37">
        <v>0</v>
      </c>
      <c r="C20" s="38">
        <v>0</v>
      </c>
      <c r="D20" s="39">
        <f t="shared" si="0"/>
        <v>0</v>
      </c>
      <c r="E20" s="36"/>
    </row>
    <row r="21" spans="1:5" x14ac:dyDescent="0.2">
      <c r="A21" s="141" t="s">
        <v>40</v>
      </c>
      <c r="B21" s="37">
        <v>0</v>
      </c>
      <c r="C21" s="38">
        <v>0</v>
      </c>
      <c r="D21" s="39">
        <f t="shared" si="0"/>
        <v>0</v>
      </c>
      <c r="E21" s="36"/>
    </row>
    <row r="22" spans="1:5" x14ac:dyDescent="0.2">
      <c r="A22" s="141" t="s">
        <v>41</v>
      </c>
      <c r="B22" s="37">
        <v>0</v>
      </c>
      <c r="C22" s="38">
        <v>0</v>
      </c>
      <c r="D22" s="39">
        <f t="shared" si="0"/>
        <v>0</v>
      </c>
      <c r="E22" s="36"/>
    </row>
    <row r="23" spans="1:5" x14ac:dyDescent="0.2">
      <c r="A23" s="141" t="s">
        <v>42</v>
      </c>
      <c r="B23" s="37">
        <v>0</v>
      </c>
      <c r="C23" s="38">
        <v>0</v>
      </c>
      <c r="D23" s="39">
        <f t="shared" si="0"/>
        <v>0</v>
      </c>
      <c r="E23" s="36"/>
    </row>
    <row r="24" spans="1:5" x14ac:dyDescent="0.2">
      <c r="A24" s="141" t="s">
        <v>43</v>
      </c>
      <c r="B24" s="37">
        <v>0</v>
      </c>
      <c r="C24" s="38">
        <v>0</v>
      </c>
      <c r="D24" s="39">
        <f t="shared" si="0"/>
        <v>0</v>
      </c>
      <c r="E24" s="36"/>
    </row>
    <row r="25" spans="1:5" x14ac:dyDescent="0.2">
      <c r="A25" s="141" t="s">
        <v>44</v>
      </c>
      <c r="B25" s="37">
        <v>0</v>
      </c>
      <c r="C25" s="38">
        <v>0</v>
      </c>
      <c r="D25" s="39">
        <f t="shared" si="0"/>
        <v>0</v>
      </c>
      <c r="E25" s="36"/>
    </row>
    <row r="26" spans="1:5" x14ac:dyDescent="0.2">
      <c r="A26" s="141" t="s">
        <v>45</v>
      </c>
      <c r="B26" s="37">
        <v>0</v>
      </c>
      <c r="C26" s="38">
        <v>0</v>
      </c>
      <c r="D26" s="39">
        <f t="shared" si="0"/>
        <v>0</v>
      </c>
      <c r="E26" s="36"/>
    </row>
    <row r="27" spans="1:5" x14ac:dyDescent="0.2">
      <c r="A27" s="141" t="s">
        <v>46</v>
      </c>
      <c r="B27" s="37">
        <v>0</v>
      </c>
      <c r="C27" s="38">
        <v>0</v>
      </c>
      <c r="D27" s="39">
        <f t="shared" si="0"/>
        <v>0</v>
      </c>
      <c r="E27" s="36"/>
    </row>
    <row r="28" spans="1:5" x14ac:dyDescent="0.2">
      <c r="A28" s="141" t="s">
        <v>47</v>
      </c>
      <c r="B28" s="37">
        <v>0</v>
      </c>
      <c r="C28" s="38">
        <v>0</v>
      </c>
      <c r="D28" s="39">
        <f t="shared" si="0"/>
        <v>0</v>
      </c>
      <c r="E28" s="36"/>
    </row>
    <row r="29" spans="1:5" x14ac:dyDescent="0.2">
      <c r="A29" s="141" t="s">
        <v>48</v>
      </c>
      <c r="B29" s="37">
        <v>0</v>
      </c>
      <c r="C29" s="38">
        <v>0</v>
      </c>
      <c r="D29" s="39">
        <f t="shared" si="0"/>
        <v>0</v>
      </c>
      <c r="E29" s="36"/>
    </row>
    <row r="30" spans="1:5" x14ac:dyDescent="0.2">
      <c r="A30" s="141" t="s">
        <v>49</v>
      </c>
      <c r="B30" s="37">
        <v>0</v>
      </c>
      <c r="C30" s="38">
        <v>0</v>
      </c>
      <c r="D30" s="39">
        <f t="shared" si="0"/>
        <v>0</v>
      </c>
      <c r="E30" s="36"/>
    </row>
    <row r="31" spans="1:5" x14ac:dyDescent="0.2">
      <c r="A31" s="141" t="s">
        <v>50</v>
      </c>
      <c r="B31" s="37">
        <v>0</v>
      </c>
      <c r="C31" s="38">
        <v>0</v>
      </c>
      <c r="D31" s="39">
        <f t="shared" si="0"/>
        <v>0</v>
      </c>
      <c r="E31" s="36"/>
    </row>
    <row r="32" spans="1:5" x14ac:dyDescent="0.2">
      <c r="A32" s="141" t="s">
        <v>51</v>
      </c>
      <c r="B32" s="37">
        <v>0</v>
      </c>
      <c r="C32" s="38">
        <v>0</v>
      </c>
      <c r="D32" s="39">
        <f t="shared" si="0"/>
        <v>0</v>
      </c>
      <c r="E32" s="36"/>
    </row>
    <row r="33" spans="1:5" x14ac:dyDescent="0.2">
      <c r="A33" s="141" t="s">
        <v>52</v>
      </c>
      <c r="B33" s="37">
        <v>0</v>
      </c>
      <c r="C33" s="38">
        <v>0</v>
      </c>
      <c r="D33" s="39">
        <f t="shared" si="0"/>
        <v>0</v>
      </c>
      <c r="E33" s="36"/>
    </row>
    <row r="34" spans="1:5" x14ac:dyDescent="0.2">
      <c r="A34" s="141" t="s">
        <v>53</v>
      </c>
      <c r="B34" s="37">
        <v>0</v>
      </c>
      <c r="C34" s="38">
        <v>0</v>
      </c>
      <c r="D34" s="39">
        <f t="shared" si="0"/>
        <v>0</v>
      </c>
      <c r="E34" s="36"/>
    </row>
    <row r="35" spans="1:5" x14ac:dyDescent="0.2">
      <c r="A35" s="141" t="s">
        <v>54</v>
      </c>
      <c r="B35" s="37">
        <v>0</v>
      </c>
      <c r="C35" s="38">
        <v>0</v>
      </c>
      <c r="D35" s="39">
        <f t="shared" si="0"/>
        <v>0</v>
      </c>
      <c r="E35" s="36"/>
    </row>
    <row r="36" spans="1:5" x14ac:dyDescent="0.2">
      <c r="A36" s="141" t="s">
        <v>55</v>
      </c>
      <c r="B36" s="37">
        <v>0</v>
      </c>
      <c r="C36" s="38">
        <v>0</v>
      </c>
      <c r="D36" s="39">
        <f t="shared" si="0"/>
        <v>0</v>
      </c>
      <c r="E36" s="36"/>
    </row>
    <row r="37" spans="1:5" x14ac:dyDescent="0.2">
      <c r="A37" s="141" t="s">
        <v>56</v>
      </c>
      <c r="B37" s="37">
        <v>0</v>
      </c>
      <c r="C37" s="38">
        <v>0</v>
      </c>
      <c r="D37" s="39">
        <f t="shared" si="0"/>
        <v>0</v>
      </c>
      <c r="E37" s="36"/>
    </row>
    <row r="38" spans="1:5" x14ac:dyDescent="0.2">
      <c r="A38" s="141" t="s">
        <v>57</v>
      </c>
      <c r="B38" s="37">
        <v>0</v>
      </c>
      <c r="C38" s="38">
        <v>0</v>
      </c>
      <c r="D38" s="39">
        <f t="shared" si="0"/>
        <v>0</v>
      </c>
      <c r="E38" s="36"/>
    </row>
    <row r="39" spans="1:5" x14ac:dyDescent="0.2">
      <c r="A39" s="141" t="s">
        <v>58</v>
      </c>
      <c r="B39" s="37">
        <v>0</v>
      </c>
      <c r="C39" s="38">
        <v>0</v>
      </c>
      <c r="D39" s="39">
        <f t="shared" si="0"/>
        <v>0</v>
      </c>
      <c r="E39" s="36"/>
    </row>
    <row r="40" spans="1:5" x14ac:dyDescent="0.2">
      <c r="A40" s="141" t="s">
        <v>59</v>
      </c>
      <c r="B40" s="37">
        <v>0</v>
      </c>
      <c r="C40" s="38">
        <v>0</v>
      </c>
      <c r="D40" s="39">
        <f t="shared" si="0"/>
        <v>0</v>
      </c>
      <c r="E40" s="36"/>
    </row>
    <row r="41" spans="1:5" x14ac:dyDescent="0.2">
      <c r="A41" s="141" t="s">
        <v>60</v>
      </c>
      <c r="B41" s="37">
        <v>0</v>
      </c>
      <c r="C41" s="38">
        <v>0</v>
      </c>
      <c r="D41" s="39">
        <f t="shared" si="0"/>
        <v>0</v>
      </c>
      <c r="E41" s="36"/>
    </row>
    <row r="42" spans="1:5" x14ac:dyDescent="0.2">
      <c r="A42" s="141" t="s">
        <v>61</v>
      </c>
      <c r="B42" s="37">
        <v>0</v>
      </c>
      <c r="C42" s="38">
        <v>0</v>
      </c>
      <c r="D42" s="39">
        <f t="shared" si="0"/>
        <v>0</v>
      </c>
      <c r="E42" s="36"/>
    </row>
    <row r="43" spans="1:5" x14ac:dyDescent="0.2">
      <c r="A43" s="141" t="s">
        <v>62</v>
      </c>
      <c r="B43" s="37">
        <v>0</v>
      </c>
      <c r="C43" s="38">
        <v>0</v>
      </c>
      <c r="D43" s="39">
        <f t="shared" si="0"/>
        <v>0</v>
      </c>
      <c r="E43" s="36"/>
    </row>
    <row r="44" spans="1:5" x14ac:dyDescent="0.2">
      <c r="A44" s="141" t="s">
        <v>63</v>
      </c>
      <c r="B44" s="37">
        <v>0</v>
      </c>
      <c r="C44" s="38">
        <v>0</v>
      </c>
      <c r="D44" s="39">
        <f t="shared" si="0"/>
        <v>0</v>
      </c>
      <c r="E44" s="36"/>
    </row>
    <row r="45" spans="1:5" x14ac:dyDescent="0.2">
      <c r="A45" s="141" t="s">
        <v>64</v>
      </c>
      <c r="B45" s="37">
        <v>0</v>
      </c>
      <c r="C45" s="38">
        <v>0</v>
      </c>
      <c r="D45" s="39">
        <f t="shared" si="0"/>
        <v>0</v>
      </c>
      <c r="E45" s="36"/>
    </row>
    <row r="46" spans="1:5" x14ac:dyDescent="0.2">
      <c r="A46" s="141" t="s">
        <v>65</v>
      </c>
      <c r="B46" s="37">
        <v>0</v>
      </c>
      <c r="C46" s="38">
        <v>0</v>
      </c>
      <c r="D46" s="39">
        <f t="shared" ref="D46:D66" si="1">B46*$B$11</f>
        <v>0</v>
      </c>
      <c r="E46" s="36"/>
    </row>
    <row r="47" spans="1:5" x14ac:dyDescent="0.2">
      <c r="A47" s="141" t="s">
        <v>66</v>
      </c>
      <c r="B47" s="37">
        <v>0</v>
      </c>
      <c r="C47" s="38">
        <v>0</v>
      </c>
      <c r="D47" s="39">
        <f t="shared" si="1"/>
        <v>0</v>
      </c>
      <c r="E47" s="36"/>
    </row>
    <row r="48" spans="1:5" x14ac:dyDescent="0.2">
      <c r="A48" s="141" t="s">
        <v>67</v>
      </c>
      <c r="B48" s="37">
        <v>0</v>
      </c>
      <c r="C48" s="38">
        <v>0</v>
      </c>
      <c r="D48" s="39">
        <f t="shared" si="1"/>
        <v>0</v>
      </c>
      <c r="E48" s="36"/>
    </row>
    <row r="49" spans="1:5" x14ac:dyDescent="0.2">
      <c r="A49" s="141" t="s">
        <v>68</v>
      </c>
      <c r="B49" s="37">
        <v>0</v>
      </c>
      <c r="C49" s="38">
        <v>0</v>
      </c>
      <c r="D49" s="39">
        <f t="shared" si="1"/>
        <v>0</v>
      </c>
      <c r="E49" s="36"/>
    </row>
    <row r="50" spans="1:5" x14ac:dyDescent="0.2">
      <c r="A50" s="141" t="s">
        <v>69</v>
      </c>
      <c r="B50" s="37">
        <v>0</v>
      </c>
      <c r="C50" s="38">
        <v>0</v>
      </c>
      <c r="D50" s="39">
        <f t="shared" si="1"/>
        <v>0</v>
      </c>
      <c r="E50" s="36"/>
    </row>
    <row r="51" spans="1:5" x14ac:dyDescent="0.2">
      <c r="A51" s="141" t="s">
        <v>70</v>
      </c>
      <c r="B51" s="37">
        <v>0</v>
      </c>
      <c r="C51" s="38">
        <v>0</v>
      </c>
      <c r="D51" s="39">
        <f t="shared" si="1"/>
        <v>0</v>
      </c>
      <c r="E51" s="36"/>
    </row>
    <row r="52" spans="1:5" x14ac:dyDescent="0.2">
      <c r="A52" s="141" t="s">
        <v>71</v>
      </c>
      <c r="B52" s="37">
        <v>0</v>
      </c>
      <c r="C52" s="38">
        <v>0</v>
      </c>
      <c r="D52" s="39">
        <f t="shared" si="1"/>
        <v>0</v>
      </c>
      <c r="E52" s="36"/>
    </row>
    <row r="53" spans="1:5" x14ac:dyDescent="0.2">
      <c r="A53" s="141" t="s">
        <v>72</v>
      </c>
      <c r="B53" s="37">
        <v>0</v>
      </c>
      <c r="C53" s="38">
        <v>0</v>
      </c>
      <c r="D53" s="39">
        <f t="shared" si="1"/>
        <v>0</v>
      </c>
      <c r="E53" s="36"/>
    </row>
    <row r="54" spans="1:5" x14ac:dyDescent="0.2">
      <c r="A54" s="141" t="s">
        <v>73</v>
      </c>
      <c r="B54" s="37">
        <v>0</v>
      </c>
      <c r="C54" s="38">
        <v>0</v>
      </c>
      <c r="D54" s="39">
        <f t="shared" si="1"/>
        <v>0</v>
      </c>
      <c r="E54" s="36"/>
    </row>
    <row r="55" spans="1:5" x14ac:dyDescent="0.2">
      <c r="A55" s="141" t="s">
        <v>74</v>
      </c>
      <c r="B55" s="37">
        <v>0</v>
      </c>
      <c r="C55" s="38">
        <v>0</v>
      </c>
      <c r="D55" s="39">
        <f t="shared" si="1"/>
        <v>0</v>
      </c>
      <c r="E55" s="36"/>
    </row>
    <row r="56" spans="1:5" x14ac:dyDescent="0.2">
      <c r="A56" s="141" t="s">
        <v>75</v>
      </c>
      <c r="B56" s="37">
        <v>0</v>
      </c>
      <c r="C56" s="38">
        <v>0</v>
      </c>
      <c r="D56" s="39">
        <f t="shared" si="1"/>
        <v>0</v>
      </c>
      <c r="E56" s="36"/>
    </row>
    <row r="57" spans="1:5" x14ac:dyDescent="0.2">
      <c r="A57" s="141" t="s">
        <v>76</v>
      </c>
      <c r="B57" s="37">
        <v>0</v>
      </c>
      <c r="C57" s="38">
        <v>0</v>
      </c>
      <c r="D57" s="39">
        <f t="shared" si="1"/>
        <v>0</v>
      </c>
      <c r="E57" s="36"/>
    </row>
    <row r="58" spans="1:5" x14ac:dyDescent="0.2">
      <c r="A58" s="141" t="s">
        <v>77</v>
      </c>
      <c r="B58" s="37">
        <v>0</v>
      </c>
      <c r="C58" s="38">
        <v>0</v>
      </c>
      <c r="D58" s="39">
        <f t="shared" si="1"/>
        <v>0</v>
      </c>
      <c r="E58" s="36"/>
    </row>
    <row r="59" spans="1:5" x14ac:dyDescent="0.2">
      <c r="A59" s="141" t="s">
        <v>78</v>
      </c>
      <c r="B59" s="37">
        <v>0</v>
      </c>
      <c r="C59" s="38">
        <v>0</v>
      </c>
      <c r="D59" s="39">
        <f t="shared" si="1"/>
        <v>0</v>
      </c>
      <c r="E59" s="36"/>
    </row>
    <row r="60" spans="1:5" x14ac:dyDescent="0.2">
      <c r="A60" s="141" t="s">
        <v>79</v>
      </c>
      <c r="B60" s="37">
        <v>0</v>
      </c>
      <c r="C60" s="38">
        <v>0</v>
      </c>
      <c r="D60" s="39">
        <f t="shared" si="1"/>
        <v>0</v>
      </c>
      <c r="E60" s="36"/>
    </row>
    <row r="61" spans="1:5" x14ac:dyDescent="0.2">
      <c r="A61" s="141" t="s">
        <v>80</v>
      </c>
      <c r="B61" s="37">
        <v>0</v>
      </c>
      <c r="C61" s="38">
        <v>0</v>
      </c>
      <c r="D61" s="39">
        <f t="shared" si="1"/>
        <v>0</v>
      </c>
      <c r="E61" s="36"/>
    </row>
    <row r="62" spans="1:5" x14ac:dyDescent="0.2">
      <c r="A62" s="141" t="s">
        <v>81</v>
      </c>
      <c r="B62" s="37">
        <v>0</v>
      </c>
      <c r="C62" s="38">
        <v>0</v>
      </c>
      <c r="D62" s="39">
        <f t="shared" si="1"/>
        <v>0</v>
      </c>
      <c r="E62" s="36"/>
    </row>
    <row r="63" spans="1:5" x14ac:dyDescent="0.2">
      <c r="A63" s="141" t="s">
        <v>82</v>
      </c>
      <c r="B63" s="37">
        <v>0</v>
      </c>
      <c r="C63" s="38">
        <v>0</v>
      </c>
      <c r="D63" s="39">
        <f t="shared" si="1"/>
        <v>0</v>
      </c>
      <c r="E63" s="36"/>
    </row>
    <row r="64" spans="1:5" x14ac:dyDescent="0.2">
      <c r="A64" s="142" t="s">
        <v>83</v>
      </c>
      <c r="B64" s="37">
        <v>0</v>
      </c>
      <c r="C64" s="38">
        <v>0</v>
      </c>
      <c r="D64" s="39">
        <f t="shared" si="1"/>
        <v>0</v>
      </c>
      <c r="E64" s="36"/>
    </row>
    <row r="65" spans="1:5" x14ac:dyDescent="0.2">
      <c r="A65" s="142" t="s">
        <v>84</v>
      </c>
      <c r="B65" s="37">
        <v>0</v>
      </c>
      <c r="C65" s="38">
        <v>0</v>
      </c>
      <c r="D65" s="39">
        <f t="shared" si="1"/>
        <v>0</v>
      </c>
      <c r="E65" s="36"/>
    </row>
    <row r="66" spans="1:5" ht="15" thickBot="1" x14ac:dyDescent="0.25">
      <c r="A66" s="143" t="s">
        <v>85</v>
      </c>
      <c r="B66" s="40">
        <v>0</v>
      </c>
      <c r="C66" s="41">
        <v>0</v>
      </c>
      <c r="D66" s="42">
        <f t="shared" si="1"/>
        <v>0</v>
      </c>
      <c r="E66" s="43"/>
    </row>
  </sheetData>
  <mergeCells count="19">
    <mergeCell ref="A1:E1"/>
    <mergeCell ref="E7:E8"/>
    <mergeCell ref="E13:E66"/>
    <mergeCell ref="C7:C8"/>
    <mergeCell ref="D7:D8"/>
    <mergeCell ref="A2:B2"/>
    <mergeCell ref="F2:G2"/>
    <mergeCell ref="A3:A4"/>
    <mergeCell ref="B3:B4"/>
    <mergeCell ref="F3:G3"/>
    <mergeCell ref="F4:G4"/>
    <mergeCell ref="A9:A10"/>
    <mergeCell ref="B9:B10"/>
    <mergeCell ref="A11:A12"/>
    <mergeCell ref="B11:B12"/>
    <mergeCell ref="A5:A6"/>
    <mergeCell ref="B5:B6"/>
    <mergeCell ref="A7:A8"/>
    <mergeCell ref="B7:B8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AB3E5-86DE-415C-8C9A-C48A704E2BD4}">
  <sheetPr codeName="Sheet3">
    <tabColor rgb="FF00B050"/>
  </sheetPr>
  <dimension ref="A1:P24"/>
  <sheetViews>
    <sheetView tabSelected="1" workbookViewId="0">
      <selection activeCell="G9" sqref="G9"/>
    </sheetView>
  </sheetViews>
  <sheetFormatPr defaultColWidth="13.7109375" defaultRowHeight="15" x14ac:dyDescent="0.25"/>
  <cols>
    <col min="1" max="1" width="19.5703125" style="126" bestFit="1" customWidth="1"/>
    <col min="2" max="2" width="17.140625" style="126" bestFit="1" customWidth="1"/>
    <col min="3" max="3" width="15.28515625" style="126" bestFit="1" customWidth="1"/>
    <col min="4" max="4" width="16.140625" style="126" bestFit="1" customWidth="1"/>
    <col min="5" max="5" width="15.42578125" style="126" bestFit="1" customWidth="1"/>
    <col min="6" max="6" width="16.7109375" style="126" bestFit="1" customWidth="1"/>
    <col min="7" max="7" width="26.140625" style="126" bestFit="1" customWidth="1"/>
    <col min="8" max="16384" width="13.7109375" style="126"/>
  </cols>
  <sheetData>
    <row r="1" spans="1:16" x14ac:dyDescent="0.25">
      <c r="A1" s="9" t="s">
        <v>125</v>
      </c>
      <c r="B1" s="10"/>
      <c r="C1" s="10"/>
      <c r="D1" s="10"/>
      <c r="E1" s="10"/>
      <c r="F1" s="11"/>
      <c r="G1" s="5"/>
    </row>
    <row r="2" spans="1:16" ht="15.75" thickBot="1" x14ac:dyDescent="0.3">
      <c r="A2" s="12"/>
      <c r="B2" s="13"/>
      <c r="C2" s="13"/>
      <c r="D2" s="13"/>
      <c r="E2" s="13"/>
      <c r="F2" s="14"/>
      <c r="G2" s="5"/>
    </row>
    <row r="3" spans="1:16" ht="15.75" x14ac:dyDescent="0.25">
      <c r="A3" s="44" t="s">
        <v>92</v>
      </c>
      <c r="B3" s="45"/>
      <c r="C3" s="48" t="s">
        <v>29</v>
      </c>
      <c r="D3" s="49"/>
      <c r="E3" s="48" t="s">
        <v>31</v>
      </c>
      <c r="F3" s="49"/>
      <c r="G3" s="6"/>
      <c r="H3" s="1"/>
      <c r="N3" s="127"/>
    </row>
    <row r="4" spans="1:16" x14ac:dyDescent="0.25">
      <c r="A4" s="128" t="s">
        <v>99</v>
      </c>
      <c r="B4" s="129">
        <v>150000</v>
      </c>
      <c r="C4" s="128" t="s">
        <v>100</v>
      </c>
      <c r="D4" s="130">
        <v>25000</v>
      </c>
      <c r="E4" s="128" t="s">
        <v>100</v>
      </c>
      <c r="F4" s="130">
        <v>50000</v>
      </c>
      <c r="G4" s="5"/>
      <c r="N4" s="127"/>
    </row>
    <row r="5" spans="1:16" x14ac:dyDescent="0.25">
      <c r="A5" s="128" t="s">
        <v>98</v>
      </c>
      <c r="B5" s="130">
        <f>SUM(D5, D10, F5, F10)</f>
        <v>133830</v>
      </c>
      <c r="C5" s="128" t="s">
        <v>97</v>
      </c>
      <c r="D5" s="130">
        <v>20450</v>
      </c>
      <c r="E5" s="128" t="s">
        <v>97</v>
      </c>
      <c r="F5" s="130">
        <v>17880</v>
      </c>
      <c r="G5" s="5"/>
      <c r="N5" s="127"/>
    </row>
    <row r="6" spans="1:16" x14ac:dyDescent="0.25">
      <c r="A6" s="131" t="s">
        <v>5</v>
      </c>
      <c r="B6" s="130">
        <f>(SUM(D11,F6,F11)+D13)</f>
        <v>122706.26</v>
      </c>
      <c r="C6" s="128" t="s">
        <v>1</v>
      </c>
      <c r="D6" s="130">
        <v>20061.21</v>
      </c>
      <c r="E6" s="128" t="s">
        <v>1</v>
      </c>
      <c r="F6" s="130">
        <v>17646.73</v>
      </c>
      <c r="G6" s="5"/>
    </row>
    <row r="7" spans="1:16" ht="15.75" thickBot="1" x14ac:dyDescent="0.3">
      <c r="A7" s="51" t="s">
        <v>11</v>
      </c>
      <c r="B7" s="7">
        <f>(B4-D4)-B6</f>
        <v>2293.7400000000052</v>
      </c>
      <c r="C7" s="128" t="s">
        <v>10</v>
      </c>
      <c r="D7" s="132">
        <f>D5-D6</f>
        <v>388.79000000000087</v>
      </c>
      <c r="E7" s="128" t="s">
        <v>10</v>
      </c>
      <c r="F7" s="132">
        <f>F5-F6</f>
        <v>233.27000000000044</v>
      </c>
      <c r="G7"/>
    </row>
    <row r="8" spans="1:16" ht="16.5" thickTop="1" x14ac:dyDescent="0.25">
      <c r="A8" s="46" t="s">
        <v>93</v>
      </c>
      <c r="B8" s="47"/>
      <c r="C8" s="46" t="s">
        <v>30</v>
      </c>
      <c r="D8" s="47"/>
      <c r="E8" s="46" t="s">
        <v>32</v>
      </c>
      <c r="F8" s="47"/>
      <c r="G8"/>
    </row>
    <row r="9" spans="1:16" x14ac:dyDescent="0.25">
      <c r="A9" s="128" t="s">
        <v>99</v>
      </c>
      <c r="B9" s="129">
        <v>150000</v>
      </c>
      <c r="C9" s="128" t="s">
        <v>100</v>
      </c>
      <c r="D9" s="132">
        <v>50000</v>
      </c>
      <c r="E9" s="128" t="s">
        <v>100</v>
      </c>
      <c r="F9" s="132">
        <v>25000</v>
      </c>
      <c r="G9"/>
    </row>
    <row r="10" spans="1:16" ht="15.75" customHeight="1" x14ac:dyDescent="0.25">
      <c r="A10" s="128" t="s">
        <v>98</v>
      </c>
      <c r="B10" s="130">
        <v>0</v>
      </c>
      <c r="C10" s="128" t="s">
        <v>97</v>
      </c>
      <c r="D10" s="130">
        <v>40150</v>
      </c>
      <c r="E10" s="128" t="s">
        <v>97</v>
      </c>
      <c r="F10" s="130">
        <v>55350</v>
      </c>
      <c r="G10"/>
      <c r="H10" s="133"/>
      <c r="N10" s="134"/>
      <c r="P10" s="134"/>
    </row>
    <row r="11" spans="1:16" ht="15.75" customHeight="1" x14ac:dyDescent="0.25">
      <c r="A11" s="128" t="s">
        <v>5</v>
      </c>
      <c r="B11" s="130">
        <v>0</v>
      </c>
      <c r="C11" s="128" t="s">
        <v>1</v>
      </c>
      <c r="D11" s="130">
        <v>39953.5</v>
      </c>
      <c r="E11" s="128" t="s">
        <v>1</v>
      </c>
      <c r="F11" s="130">
        <v>55059.53</v>
      </c>
      <c r="G11"/>
      <c r="N11" s="134"/>
    </row>
    <row r="12" spans="1:16" ht="16.5" customHeight="1" thickBot="1" x14ac:dyDescent="0.3">
      <c r="A12" s="51" t="s">
        <v>11</v>
      </c>
      <c r="B12" s="7">
        <f>B9-B11</f>
        <v>150000</v>
      </c>
      <c r="C12" s="128" t="s">
        <v>10</v>
      </c>
      <c r="D12" s="132">
        <f>D10-D11</f>
        <v>196.5</v>
      </c>
      <c r="E12" s="128" t="s">
        <v>10</v>
      </c>
      <c r="F12" s="130">
        <f>F10-F11</f>
        <v>290.47000000000116</v>
      </c>
      <c r="G12"/>
      <c r="N12" s="134"/>
    </row>
    <row r="13" spans="1:16" ht="16.5" thickTop="1" thickBot="1" x14ac:dyDescent="0.3">
      <c r="A13" s="135"/>
      <c r="B13" s="136"/>
      <c r="C13" s="50" t="s">
        <v>211</v>
      </c>
      <c r="D13" s="8">
        <f>D9-D11</f>
        <v>10046.5</v>
      </c>
      <c r="E13" s="50" t="s">
        <v>212</v>
      </c>
      <c r="F13" s="8">
        <f>F9-F11</f>
        <v>-30059.53</v>
      </c>
      <c r="G13"/>
      <c r="N13" s="134"/>
    </row>
    <row r="14" spans="1:16" x14ac:dyDescent="0.25">
      <c r="G14"/>
      <c r="M14" s="134"/>
    </row>
    <row r="15" spans="1:16" ht="15" customHeight="1" x14ac:dyDescent="0.25">
      <c r="A15" s="137"/>
      <c r="B15" s="137"/>
      <c r="C15" s="2"/>
      <c r="D15" s="3"/>
      <c r="E15" s="137"/>
    </row>
    <row r="16" spans="1:16" x14ac:dyDescent="0.25">
      <c r="A16" s="137"/>
      <c r="B16" s="137"/>
      <c r="C16" s="4"/>
      <c r="D16" s="3"/>
      <c r="E16" s="137"/>
      <c r="M16" s="134"/>
    </row>
    <row r="17" spans="1:14" x14ac:dyDescent="0.25">
      <c r="A17" s="137"/>
      <c r="B17" s="137"/>
      <c r="C17" s="4"/>
      <c r="D17" s="3"/>
      <c r="E17" s="137"/>
    </row>
    <row r="18" spans="1:14" x14ac:dyDescent="0.25">
      <c r="A18" s="137"/>
      <c r="B18" s="137"/>
      <c r="C18" s="4"/>
      <c r="D18" s="3"/>
      <c r="E18" s="137"/>
      <c r="M18" s="134"/>
      <c r="N18" s="134"/>
    </row>
    <row r="19" spans="1:14" x14ac:dyDescent="0.25">
      <c r="A19" s="137"/>
      <c r="B19" s="137"/>
      <c r="C19" s="4"/>
      <c r="D19" s="3"/>
      <c r="E19" s="137"/>
      <c r="M19" s="134"/>
    </row>
    <row r="20" spans="1:14" x14ac:dyDescent="0.25">
      <c r="A20" s="137"/>
      <c r="B20" s="137"/>
      <c r="C20" s="4"/>
      <c r="D20" s="3"/>
      <c r="E20" s="137"/>
      <c r="M20" s="134"/>
    </row>
    <row r="21" spans="1:14" x14ac:dyDescent="0.25">
      <c r="A21" s="137"/>
      <c r="B21" s="137"/>
      <c r="C21" s="4"/>
      <c r="D21" s="3"/>
      <c r="E21" s="137"/>
      <c r="H21" s="134"/>
    </row>
    <row r="22" spans="1:14" x14ac:dyDescent="0.25">
      <c r="A22" s="137"/>
      <c r="B22" s="137"/>
      <c r="C22" s="4"/>
      <c r="D22" s="3"/>
      <c r="E22" s="137"/>
    </row>
    <row r="23" spans="1:14" x14ac:dyDescent="0.25">
      <c r="A23" s="137"/>
      <c r="B23" s="137"/>
      <c r="C23" s="4"/>
      <c r="D23" s="3"/>
      <c r="E23" s="137"/>
    </row>
    <row r="24" spans="1:14" x14ac:dyDescent="0.25">
      <c r="A24" s="137"/>
      <c r="B24" s="137"/>
      <c r="C24" s="4"/>
      <c r="D24" s="3"/>
      <c r="E24" s="137"/>
    </row>
  </sheetData>
  <mergeCells count="8">
    <mergeCell ref="A1:F2"/>
    <mergeCell ref="C3:D3"/>
    <mergeCell ref="E3:F3"/>
    <mergeCell ref="A13:B13"/>
    <mergeCell ref="A3:B3"/>
    <mergeCell ref="C8:D8"/>
    <mergeCell ref="A8:B8"/>
    <mergeCell ref="E8:F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ummaryCalc">
                <anchor moveWithCells="1" sizeWithCells="1">
                  <from>
                    <xdr:col>6</xdr:col>
                    <xdr:colOff>257175</xdr:colOff>
                    <xdr:row>2</xdr:row>
                    <xdr:rowOff>66675</xdr:rowOff>
                  </from>
                  <to>
                    <xdr:col>6</xdr:col>
                    <xdr:colOff>1247775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B6FA-4FDC-459A-A83B-98AB9ACD8C6F}">
  <sheetPr codeName="Sheet4">
    <tabColor rgb="FF7030A0"/>
  </sheetPr>
  <dimension ref="A1:I35"/>
  <sheetViews>
    <sheetView workbookViewId="0">
      <selection activeCell="H18" sqref="H18:I18"/>
    </sheetView>
  </sheetViews>
  <sheetFormatPr defaultRowHeight="14.25" x14ac:dyDescent="0.2"/>
  <cols>
    <col min="1" max="1" width="26.5703125" style="70" bestFit="1" customWidth="1"/>
    <col min="2" max="2" width="15.42578125" style="70" bestFit="1" customWidth="1"/>
    <col min="3" max="3" width="9.140625" style="5"/>
    <col min="4" max="4" width="27.140625" style="5" bestFit="1" customWidth="1"/>
    <col min="5" max="5" width="20.5703125" style="5" bestFit="1" customWidth="1"/>
    <col min="6" max="6" width="18.5703125" style="5" customWidth="1"/>
    <col min="7" max="7" width="19.5703125" style="5" bestFit="1" customWidth="1"/>
    <col min="8" max="8" width="12.42578125" style="5" bestFit="1" customWidth="1"/>
    <col min="9" max="9" width="14.85546875" style="5" bestFit="1" customWidth="1"/>
    <col min="10" max="16384" width="9.140625" style="5"/>
  </cols>
  <sheetData>
    <row r="1" spans="1:9" x14ac:dyDescent="0.2">
      <c r="A1" s="70" t="s">
        <v>126</v>
      </c>
    </row>
    <row r="2" spans="1:9" ht="15" thickBot="1" x14ac:dyDescent="0.25"/>
    <row r="3" spans="1:9" ht="18.75" thickBot="1" x14ac:dyDescent="0.3">
      <c r="A3" s="70" t="s">
        <v>92</v>
      </c>
      <c r="B3" s="71">
        <f>Summary!B4</f>
        <v>150000</v>
      </c>
      <c r="D3" s="118" t="s">
        <v>22</v>
      </c>
      <c r="E3" s="119" t="s">
        <v>130</v>
      </c>
      <c r="F3" s="119"/>
      <c r="G3" s="119"/>
      <c r="H3" s="119"/>
      <c r="I3" s="120"/>
    </row>
    <row r="4" spans="1:9" ht="15" x14ac:dyDescent="0.2">
      <c r="A4" s="70" t="s">
        <v>93</v>
      </c>
      <c r="B4" s="74">
        <f>Summary!B9</f>
        <v>150000</v>
      </c>
      <c r="D4" s="103" t="s">
        <v>127</v>
      </c>
      <c r="E4" s="105" t="s">
        <v>2</v>
      </c>
      <c r="F4" s="105" t="s">
        <v>21</v>
      </c>
      <c r="G4" s="106" t="s">
        <v>133</v>
      </c>
      <c r="H4" s="106"/>
      <c r="I4" s="107"/>
    </row>
    <row r="5" spans="1:9" ht="15" x14ac:dyDescent="0.2">
      <c r="A5" s="70" t="s">
        <v>30</v>
      </c>
      <c r="B5" s="71">
        <f>Summary!D9</f>
        <v>50000</v>
      </c>
      <c r="D5" s="75">
        <f>B3</f>
        <v>150000</v>
      </c>
      <c r="E5" s="108" t="s">
        <v>101</v>
      </c>
      <c r="F5" s="109"/>
      <c r="G5" s="110" t="s">
        <v>20</v>
      </c>
      <c r="H5" s="110" t="s">
        <v>128</v>
      </c>
      <c r="I5" s="111" t="s">
        <v>129</v>
      </c>
    </row>
    <row r="6" spans="1:9" ht="15" x14ac:dyDescent="0.2">
      <c r="A6" s="70" t="s">
        <v>31</v>
      </c>
      <c r="B6" s="71">
        <f>Summary!F9</f>
        <v>25000</v>
      </c>
      <c r="D6" s="104" t="s">
        <v>128</v>
      </c>
      <c r="E6" s="77">
        <f>B10</f>
        <v>12.5</v>
      </c>
      <c r="F6" s="78">
        <v>1</v>
      </c>
      <c r="G6" s="77">
        <f>IFERROR(B33, 0)</f>
        <v>16562.5</v>
      </c>
      <c r="H6" s="77">
        <f>IFERROR(G6-(G6*(1-($B$5/$B$3))), 0)</f>
        <v>5520.8333333333321</v>
      </c>
      <c r="I6" s="79">
        <f>IFERROR(G6-(G6*(1-($B$6/$B$3))), 0)</f>
        <v>2760.4166666666661</v>
      </c>
    </row>
    <row r="7" spans="1:9" ht="15" x14ac:dyDescent="0.2">
      <c r="A7" s="70" t="s">
        <v>104</v>
      </c>
      <c r="B7" s="80">
        <f>COUNTIFS(Table15[Status], "Active", Table15[Pay Rate], 12.5)</f>
        <v>1</v>
      </c>
      <c r="D7" s="75">
        <f>B5</f>
        <v>50000</v>
      </c>
      <c r="E7" s="108" t="s">
        <v>102</v>
      </c>
      <c r="F7" s="109"/>
      <c r="G7" s="76"/>
      <c r="H7" s="76"/>
      <c r="I7" s="81"/>
    </row>
    <row r="8" spans="1:9" ht="15" x14ac:dyDescent="0.2">
      <c r="A8" s="70" t="s">
        <v>105</v>
      </c>
      <c r="B8" s="80">
        <f>COUNTIFS(Table15[Status], "Active", Table15[Pay Rate], 14.75)</f>
        <v>3</v>
      </c>
      <c r="D8" s="104" t="s">
        <v>129</v>
      </c>
      <c r="E8" s="77">
        <f>B11</f>
        <v>14.75</v>
      </c>
      <c r="F8" s="78">
        <v>3</v>
      </c>
      <c r="G8" s="77">
        <f>IFERROR(B34, 0)</f>
        <v>19543.75</v>
      </c>
      <c r="H8" s="77">
        <f>IFERROR(G8-(G8*(1-($B$5/$B$3))), 0)</f>
        <v>6514.5833333333321</v>
      </c>
      <c r="I8" s="79">
        <f>IFERROR(G8-(G8*(1-($B$6/$B$3))), 0)</f>
        <v>3257.2916666666661</v>
      </c>
    </row>
    <row r="9" spans="1:9" ht="15" x14ac:dyDescent="0.2">
      <c r="A9" s="70" t="s">
        <v>106</v>
      </c>
      <c r="B9" s="80">
        <f>COUNTIFS(Table15[Status], "Active", Table15[Pay Rate], 17.25)</f>
        <v>3</v>
      </c>
      <c r="D9" s="75">
        <f>B6</f>
        <v>25000</v>
      </c>
      <c r="E9" s="108" t="s">
        <v>103</v>
      </c>
      <c r="F9" s="109"/>
      <c r="G9" s="76"/>
      <c r="H9" s="76"/>
      <c r="I9" s="81"/>
    </row>
    <row r="10" spans="1:9" ht="15.75" thickBot="1" x14ac:dyDescent="0.25">
      <c r="A10" s="70" t="s">
        <v>101</v>
      </c>
      <c r="B10" s="74">
        <v>12.5</v>
      </c>
      <c r="D10" s="104" t="s">
        <v>19</v>
      </c>
      <c r="E10" s="82">
        <f>B12</f>
        <v>17.25</v>
      </c>
      <c r="F10" s="83">
        <v>3</v>
      </c>
      <c r="G10" s="82">
        <f>IFERROR(B35, 0)</f>
        <v>22856.25</v>
      </c>
      <c r="H10" s="82">
        <f>IFERROR(G10-(G10*(1-($B$5/$B$3))), 0)</f>
        <v>7618.7499999999982</v>
      </c>
      <c r="I10" s="84">
        <f>IFERROR(G10-(G10*(1-($B$6/$B$3))), 0)</f>
        <v>3809.375</v>
      </c>
    </row>
    <row r="11" spans="1:9" ht="15" thickBot="1" x14ac:dyDescent="0.25">
      <c r="A11" s="70" t="s">
        <v>102</v>
      </c>
      <c r="B11" s="74">
        <v>14.75</v>
      </c>
      <c r="D11" s="85">
        <f>B16</f>
        <v>25</v>
      </c>
      <c r="E11" s="72"/>
      <c r="F11" s="72"/>
      <c r="G11" s="72"/>
      <c r="H11" s="72"/>
      <c r="I11" s="73"/>
    </row>
    <row r="12" spans="1:9" ht="15.75" thickBot="1" x14ac:dyDescent="0.25">
      <c r="A12" s="70" t="s">
        <v>103</v>
      </c>
      <c r="B12" s="74">
        <v>17.25</v>
      </c>
      <c r="D12" s="104" t="s">
        <v>18</v>
      </c>
      <c r="E12" s="112" t="s">
        <v>131</v>
      </c>
      <c r="F12" s="112"/>
      <c r="G12" s="112"/>
      <c r="H12" s="112"/>
      <c r="I12" s="113"/>
    </row>
    <row r="13" spans="1:9" ht="15" x14ac:dyDescent="0.2">
      <c r="A13" s="70" t="s">
        <v>107</v>
      </c>
      <c r="B13" s="74">
        <f>B10*$B$16*$B$17</f>
        <v>16562.5</v>
      </c>
      <c r="D13" s="86">
        <f>B17</f>
        <v>53</v>
      </c>
      <c r="E13" s="114" t="s">
        <v>19</v>
      </c>
      <c r="F13" s="114" t="s">
        <v>2</v>
      </c>
      <c r="G13" s="114" t="s">
        <v>132</v>
      </c>
      <c r="H13" s="115" t="s">
        <v>131</v>
      </c>
      <c r="I13" s="116"/>
    </row>
    <row r="14" spans="1:9" ht="15" x14ac:dyDescent="0.2">
      <c r="A14" s="70" t="s">
        <v>108</v>
      </c>
      <c r="B14" s="74">
        <f>B11*$B$16*$B$17</f>
        <v>19543.75</v>
      </c>
      <c r="D14" s="104" t="s">
        <v>104</v>
      </c>
      <c r="E14" s="87">
        <v>25</v>
      </c>
      <c r="F14" s="88">
        <f>B10</f>
        <v>12.5</v>
      </c>
      <c r="G14" s="89">
        <v>1</v>
      </c>
      <c r="H14" s="90">
        <f>IFERROR((($E$14*F14)*$E$17)*G14, 0)</f>
        <v>16562.5</v>
      </c>
      <c r="I14" s="91"/>
    </row>
    <row r="15" spans="1:9" x14ac:dyDescent="0.2">
      <c r="A15" s="70" t="s">
        <v>109</v>
      </c>
      <c r="B15" s="74">
        <f>B12*$B$16*$B$17</f>
        <v>22856.25</v>
      </c>
      <c r="D15" s="86">
        <f>B7</f>
        <v>1</v>
      </c>
      <c r="E15" s="87"/>
      <c r="F15" s="92"/>
      <c r="G15" s="92"/>
      <c r="H15" s="92"/>
      <c r="I15" s="93"/>
    </row>
    <row r="16" spans="1:9" ht="15" x14ac:dyDescent="0.2">
      <c r="A16" s="70" t="s">
        <v>19</v>
      </c>
      <c r="B16" s="94">
        <v>25</v>
      </c>
      <c r="D16" s="104" t="s">
        <v>105</v>
      </c>
      <c r="E16" s="114" t="s">
        <v>18</v>
      </c>
      <c r="F16" s="88">
        <f>B11</f>
        <v>14.75</v>
      </c>
      <c r="G16" s="89">
        <v>3</v>
      </c>
      <c r="H16" s="90">
        <f>IFERROR((($E$14*F16)*$E$17)*G16, 0)</f>
        <v>58631.25</v>
      </c>
      <c r="I16" s="91"/>
    </row>
    <row r="17" spans="1:9" x14ac:dyDescent="0.2">
      <c r="A17" s="70" t="s">
        <v>17</v>
      </c>
      <c r="B17" s="95">
        <v>53</v>
      </c>
      <c r="D17" s="86">
        <f>B8</f>
        <v>3</v>
      </c>
      <c r="E17" s="87">
        <v>53</v>
      </c>
      <c r="F17" s="92"/>
      <c r="G17" s="92"/>
      <c r="H17" s="92"/>
      <c r="I17" s="93"/>
    </row>
    <row r="18" spans="1:9" ht="15.75" thickBot="1" x14ac:dyDescent="0.25">
      <c r="A18" s="70" t="s">
        <v>110</v>
      </c>
      <c r="B18" s="70">
        <f>B13/$B$3</f>
        <v>0.11041666666666666</v>
      </c>
      <c r="D18" s="104" t="s">
        <v>106</v>
      </c>
      <c r="E18" s="96"/>
      <c r="F18" s="97">
        <f>B12</f>
        <v>17.25</v>
      </c>
      <c r="G18" s="98">
        <v>3</v>
      </c>
      <c r="H18" s="99">
        <f>IFERROR((($E$14*F18)*$E$17)*G18, 0)</f>
        <v>68568.75</v>
      </c>
      <c r="I18" s="100"/>
    </row>
    <row r="19" spans="1:9" ht="15.75" thickBot="1" x14ac:dyDescent="0.25">
      <c r="A19" s="70" t="s">
        <v>111</v>
      </c>
      <c r="B19" s="70">
        <f>B14/$B$3</f>
        <v>0.13029166666666667</v>
      </c>
      <c r="D19" s="101">
        <f>B9</f>
        <v>3</v>
      </c>
      <c r="E19" s="117" t="s">
        <v>16</v>
      </c>
      <c r="F19" s="117"/>
      <c r="G19" s="117"/>
      <c r="H19" s="117"/>
      <c r="I19" s="102">
        <f>SUM(H14,H16,H18)</f>
        <v>143762.5</v>
      </c>
    </row>
    <row r="20" spans="1:9" x14ac:dyDescent="0.2">
      <c r="A20" s="70" t="s">
        <v>112</v>
      </c>
      <c r="B20" s="70">
        <f>B15/$B$3</f>
        <v>0.15237500000000001</v>
      </c>
    </row>
    <row r="21" spans="1:9" x14ac:dyDescent="0.2">
      <c r="A21" s="70" t="s">
        <v>15</v>
      </c>
      <c r="B21" s="70">
        <f>AVERAGE(B18:B20)</f>
        <v>0.13102777777777777</v>
      </c>
    </row>
    <row r="22" spans="1:9" x14ac:dyDescent="0.2">
      <c r="A22" s="70" t="s">
        <v>113</v>
      </c>
      <c r="B22" s="71">
        <f>B13-(B13*$B$21)</f>
        <v>14392.352430555555</v>
      </c>
    </row>
    <row r="23" spans="1:9" x14ac:dyDescent="0.2">
      <c r="A23" s="70" t="s">
        <v>114</v>
      </c>
      <c r="B23" s="71">
        <f>B14-(B14*$B$21)</f>
        <v>16982.975868055557</v>
      </c>
    </row>
    <row r="24" spans="1:9" x14ac:dyDescent="0.2">
      <c r="A24" s="70" t="s">
        <v>115</v>
      </c>
      <c r="B24" s="71">
        <f>B15-(B15*$B$21)</f>
        <v>19861.446354166666</v>
      </c>
    </row>
    <row r="25" spans="1:9" x14ac:dyDescent="0.2">
      <c r="A25" s="70" t="s">
        <v>116</v>
      </c>
      <c r="B25" s="71">
        <f>B22*F6</f>
        <v>14392.352430555555</v>
      </c>
    </row>
    <row r="26" spans="1:9" x14ac:dyDescent="0.2">
      <c r="A26" s="70" t="s">
        <v>117</v>
      </c>
      <c r="B26" s="71">
        <f>B23*F8</f>
        <v>50948.927604166674</v>
      </c>
    </row>
    <row r="27" spans="1:9" x14ac:dyDescent="0.2">
      <c r="A27" s="70" t="s">
        <v>118</v>
      </c>
      <c r="B27" s="71">
        <f>B24*F10</f>
        <v>59584.339062500003</v>
      </c>
    </row>
    <row r="28" spans="1:9" x14ac:dyDescent="0.2">
      <c r="A28" s="70" t="s">
        <v>14</v>
      </c>
      <c r="B28" s="70">
        <f>1-(B3/(SUM(B25:B27)))</f>
        <v>-0.20071448181708718</v>
      </c>
    </row>
    <row r="29" spans="1:9" x14ac:dyDescent="0.2">
      <c r="A29" s="70" t="s">
        <v>119</v>
      </c>
      <c r="B29" s="71">
        <f>B25-(B25*$B$28)</f>
        <v>17281.10599078341</v>
      </c>
    </row>
    <row r="30" spans="1:9" x14ac:dyDescent="0.2">
      <c r="A30" s="70" t="s">
        <v>120</v>
      </c>
      <c r="B30" s="71">
        <f>B26-(B26*$B$28)</f>
        <v>61175.115207373281</v>
      </c>
    </row>
    <row r="31" spans="1:9" x14ac:dyDescent="0.2">
      <c r="A31" s="70" t="s">
        <v>121</v>
      </c>
      <c r="B31" s="71">
        <f>B27-(B27*$B$28)</f>
        <v>71543.77880184332</v>
      </c>
    </row>
    <row r="32" spans="1:9" x14ac:dyDescent="0.2">
      <c r="A32" s="70" t="s">
        <v>13</v>
      </c>
      <c r="B32" s="71">
        <f>SUM(B29:B31)</f>
        <v>150000</v>
      </c>
    </row>
    <row r="33" spans="1:2" x14ac:dyDescent="0.2">
      <c r="A33" s="70" t="s">
        <v>122</v>
      </c>
      <c r="B33" s="74">
        <f>IF((B29/F6)&gt;B13, B13, B29/F6)</f>
        <v>16562.5</v>
      </c>
    </row>
    <row r="34" spans="1:2" x14ac:dyDescent="0.2">
      <c r="A34" s="70" t="s">
        <v>123</v>
      </c>
      <c r="B34" s="74">
        <f>IF((B30/F8)&gt;B14, B14, B30/F8)</f>
        <v>19543.75</v>
      </c>
    </row>
    <row r="35" spans="1:2" x14ac:dyDescent="0.2">
      <c r="A35" s="70" t="s">
        <v>124</v>
      </c>
      <c r="B35" s="74">
        <f>IF((B31/F10)&gt;B15, B15, B31/F10)</f>
        <v>22856.25</v>
      </c>
    </row>
  </sheetData>
  <mergeCells count="18">
    <mergeCell ref="F15:I15"/>
    <mergeCell ref="E3:I3"/>
    <mergeCell ref="G4:I4"/>
    <mergeCell ref="E5:F5"/>
    <mergeCell ref="E7:F7"/>
    <mergeCell ref="G7:I7"/>
    <mergeCell ref="E9:F9"/>
    <mergeCell ref="G9:I9"/>
    <mergeCell ref="E11:I11"/>
    <mergeCell ref="E12:I12"/>
    <mergeCell ref="H13:I13"/>
    <mergeCell ref="E14:E15"/>
    <mergeCell ref="H14:I14"/>
    <mergeCell ref="H16:I16"/>
    <mergeCell ref="E17:E18"/>
    <mergeCell ref="F17:I17"/>
    <mergeCell ref="H18:I18"/>
    <mergeCell ref="E19:H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5DC90-AD29-4E52-8165-1DF14F494660}">
  <sheetPr codeName="Sheet5">
    <tabColor rgb="FFFFFF00"/>
  </sheetPr>
  <dimension ref="A1:N11"/>
  <sheetViews>
    <sheetView workbookViewId="0">
      <selection activeCell="G5" sqref="G5"/>
    </sheetView>
  </sheetViews>
  <sheetFormatPr defaultRowHeight="14.25" x14ac:dyDescent="0.2"/>
  <cols>
    <col min="1" max="1" width="19.7109375" style="121" bestFit="1" customWidth="1"/>
    <col min="2" max="2" width="20.28515625" style="121" bestFit="1" customWidth="1"/>
    <col min="3" max="3" width="18.85546875" style="121" bestFit="1" customWidth="1"/>
    <col min="4" max="4" width="21" style="121" bestFit="1" customWidth="1"/>
    <col min="5" max="5" width="19.42578125" style="121" bestFit="1" customWidth="1"/>
    <col min="6" max="6" width="17.42578125" style="122" customWidth="1"/>
    <col min="7" max="7" width="14.140625" style="153" bestFit="1" customWidth="1"/>
    <col min="8" max="8" width="36.7109375" style="122" bestFit="1" customWidth="1"/>
    <col min="9" max="9" width="9.140625" style="121"/>
    <col min="10" max="10" width="10.42578125" style="121" bestFit="1" customWidth="1"/>
    <col min="11" max="11" width="8.42578125" style="121" bestFit="1" customWidth="1"/>
    <col min="12" max="12" width="14.85546875" style="121" bestFit="1" customWidth="1"/>
    <col min="13" max="13" width="11.28515625" style="121" bestFit="1" customWidth="1"/>
    <col min="14" max="14" width="11.5703125" style="121" bestFit="1" customWidth="1"/>
    <col min="15" max="16" width="8" style="121" bestFit="1" customWidth="1"/>
    <col min="17" max="18" width="12.7109375" style="121" bestFit="1" customWidth="1"/>
    <col min="19" max="16384" width="9.140625" style="121"/>
  </cols>
  <sheetData>
    <row r="1" spans="1:14" s="125" customFormat="1" ht="15" x14ac:dyDescent="0.2">
      <c r="A1" s="123" t="s">
        <v>8</v>
      </c>
      <c r="B1" s="123" t="s">
        <v>25</v>
      </c>
      <c r="C1" s="123" t="s">
        <v>24</v>
      </c>
      <c r="D1" s="123" t="s">
        <v>4</v>
      </c>
      <c r="E1" s="123" t="s">
        <v>86</v>
      </c>
      <c r="F1" s="124" t="s">
        <v>2</v>
      </c>
      <c r="G1" s="152" t="s">
        <v>23</v>
      </c>
      <c r="H1" s="124" t="s">
        <v>88</v>
      </c>
    </row>
    <row r="2" spans="1:14" x14ac:dyDescent="0.2">
      <c r="A2" s="121" t="s">
        <v>134</v>
      </c>
      <c r="B2" s="121" t="s">
        <v>135</v>
      </c>
      <c r="C2" s="121" t="s">
        <v>136</v>
      </c>
      <c r="D2" s="121" t="s">
        <v>137</v>
      </c>
      <c r="E2" s="121" t="s">
        <v>12</v>
      </c>
      <c r="F2" s="122">
        <v>17.25</v>
      </c>
      <c r="G2" s="153" t="s">
        <v>138</v>
      </c>
      <c r="H2" s="122" t="s">
        <v>139</v>
      </c>
    </row>
    <row r="3" spans="1:14" x14ac:dyDescent="0.2">
      <c r="A3" s="121" t="s">
        <v>140</v>
      </c>
      <c r="B3" s="121" t="s">
        <v>149</v>
      </c>
      <c r="C3" s="121" t="s">
        <v>158</v>
      </c>
      <c r="D3" s="121" t="s">
        <v>167</v>
      </c>
      <c r="E3" s="121" t="s">
        <v>176</v>
      </c>
      <c r="F3" s="122">
        <v>14.75</v>
      </c>
      <c r="G3" s="153" t="s">
        <v>138</v>
      </c>
      <c r="H3" s="122" t="s">
        <v>181</v>
      </c>
    </row>
    <row r="4" spans="1:14" x14ac:dyDescent="0.2">
      <c r="A4" s="121" t="s">
        <v>141</v>
      </c>
      <c r="B4" s="121" t="s">
        <v>150</v>
      </c>
      <c r="C4" s="121" t="s">
        <v>159</v>
      </c>
      <c r="D4" s="121" t="s">
        <v>168</v>
      </c>
      <c r="E4" s="121" t="s">
        <v>177</v>
      </c>
      <c r="F4" s="122">
        <v>12.5</v>
      </c>
      <c r="G4" s="153" t="s">
        <v>179</v>
      </c>
      <c r="H4" s="122" t="s">
        <v>182</v>
      </c>
    </row>
    <row r="5" spans="1:14" x14ac:dyDescent="0.2">
      <c r="A5" s="121" t="s">
        <v>142</v>
      </c>
      <c r="B5" s="121" t="s">
        <v>151</v>
      </c>
      <c r="C5" s="121" t="s">
        <v>160</v>
      </c>
      <c r="D5" s="121" t="s">
        <v>169</v>
      </c>
      <c r="E5" s="121" t="s">
        <v>12</v>
      </c>
      <c r="F5" s="122">
        <v>14.75</v>
      </c>
      <c r="G5" s="153" t="s">
        <v>138</v>
      </c>
      <c r="H5" s="122" t="s">
        <v>183</v>
      </c>
      <c r="K5" s="122"/>
      <c r="N5" s="122"/>
    </row>
    <row r="6" spans="1:14" x14ac:dyDescent="0.2">
      <c r="A6" s="121" t="s">
        <v>143</v>
      </c>
      <c r="B6" s="121" t="s">
        <v>152</v>
      </c>
      <c r="C6" s="121" t="s">
        <v>161</v>
      </c>
      <c r="D6" s="121" t="s">
        <v>170</v>
      </c>
      <c r="E6" s="121" t="s">
        <v>178</v>
      </c>
      <c r="F6" s="122">
        <v>12.5</v>
      </c>
      <c r="G6" s="153" t="s">
        <v>180</v>
      </c>
      <c r="H6" s="122" t="s">
        <v>184</v>
      </c>
      <c r="K6" s="122"/>
      <c r="N6" s="122"/>
    </row>
    <row r="7" spans="1:14" x14ac:dyDescent="0.2">
      <c r="A7" s="121" t="s">
        <v>144</v>
      </c>
      <c r="B7" s="121" t="s">
        <v>153</v>
      </c>
      <c r="C7" s="121" t="s">
        <v>162</v>
      </c>
      <c r="D7" s="121" t="s">
        <v>171</v>
      </c>
      <c r="E7" s="121" t="s">
        <v>176</v>
      </c>
      <c r="F7" s="122">
        <v>14.75</v>
      </c>
      <c r="G7" s="153" t="s">
        <v>138</v>
      </c>
      <c r="H7" s="122" t="s">
        <v>185</v>
      </c>
      <c r="K7" s="122"/>
      <c r="N7" s="122"/>
    </row>
    <row r="8" spans="1:14" x14ac:dyDescent="0.2">
      <c r="A8" s="121" t="s">
        <v>145</v>
      </c>
      <c r="B8" s="121" t="s">
        <v>154</v>
      </c>
      <c r="C8" s="121" t="s">
        <v>163</v>
      </c>
      <c r="D8" s="121" t="s">
        <v>172</v>
      </c>
      <c r="E8" s="121" t="s">
        <v>12</v>
      </c>
      <c r="F8" s="122">
        <v>17.25</v>
      </c>
      <c r="G8" s="153" t="s">
        <v>138</v>
      </c>
      <c r="H8" s="122" t="s">
        <v>186</v>
      </c>
      <c r="K8" s="122"/>
      <c r="N8" s="122"/>
    </row>
    <row r="9" spans="1:14" x14ac:dyDescent="0.2">
      <c r="A9" s="121" t="s">
        <v>146</v>
      </c>
      <c r="B9" s="121" t="s">
        <v>155</v>
      </c>
      <c r="C9" s="121" t="s">
        <v>164</v>
      </c>
      <c r="D9" s="121" t="s">
        <v>173</v>
      </c>
      <c r="E9" s="121" t="s">
        <v>177</v>
      </c>
      <c r="F9" s="122">
        <v>14.75</v>
      </c>
      <c r="G9" s="153" t="s">
        <v>179</v>
      </c>
      <c r="H9" s="122" t="s">
        <v>187</v>
      </c>
      <c r="N9" s="122"/>
    </row>
    <row r="10" spans="1:14" x14ac:dyDescent="0.2">
      <c r="A10" s="121" t="s">
        <v>147</v>
      </c>
      <c r="B10" s="121" t="s">
        <v>156</v>
      </c>
      <c r="C10" s="121" t="s">
        <v>165</v>
      </c>
      <c r="D10" s="121" t="s">
        <v>174</v>
      </c>
      <c r="E10" s="121" t="s">
        <v>178</v>
      </c>
      <c r="F10" s="122">
        <v>17.25</v>
      </c>
      <c r="G10" s="153" t="s">
        <v>138</v>
      </c>
      <c r="H10" s="122" t="s">
        <v>188</v>
      </c>
    </row>
    <row r="11" spans="1:14" x14ac:dyDescent="0.2">
      <c r="A11" s="121" t="s">
        <v>148</v>
      </c>
      <c r="B11" s="121" t="s">
        <v>157</v>
      </c>
      <c r="C11" s="121" t="s">
        <v>166</v>
      </c>
      <c r="D11" s="121" t="s">
        <v>175</v>
      </c>
      <c r="E11" s="121" t="s">
        <v>176</v>
      </c>
      <c r="F11" s="122">
        <v>12.5</v>
      </c>
      <c r="G11" s="153" t="s">
        <v>138</v>
      </c>
      <c r="H11" s="122" t="s">
        <v>189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22166-DD09-49C3-9A1E-47A0EC514825}">
  <sheetPr codeName="Sheet7">
    <tabColor rgb="FFFFC000"/>
  </sheetPr>
  <dimension ref="A1:L11"/>
  <sheetViews>
    <sheetView workbookViewId="0">
      <selection activeCell="E8" sqref="E8"/>
    </sheetView>
  </sheetViews>
  <sheetFormatPr defaultRowHeight="14.25" x14ac:dyDescent="0.2"/>
  <cols>
    <col min="1" max="1" width="28" style="121" bestFit="1" customWidth="1"/>
    <col min="2" max="2" width="18.85546875" style="121" bestFit="1" customWidth="1"/>
    <col min="3" max="3" width="17" style="122" bestFit="1" customWidth="1"/>
    <col min="4" max="4" width="19.85546875" style="122" bestFit="1" customWidth="1"/>
    <col min="5" max="5" width="16.7109375" style="122" bestFit="1" customWidth="1"/>
    <col min="6" max="6" width="21.28515625" style="122" bestFit="1" customWidth="1"/>
    <col min="7" max="7" width="9.140625" style="121"/>
    <col min="8" max="8" width="10.42578125" style="121" bestFit="1" customWidth="1"/>
    <col min="9" max="9" width="8.42578125" style="121" bestFit="1" customWidth="1"/>
    <col min="10" max="10" width="14.85546875" style="121" bestFit="1" customWidth="1"/>
    <col min="11" max="11" width="11.28515625" style="121" bestFit="1" customWidth="1"/>
    <col min="12" max="12" width="11.5703125" style="121" bestFit="1" customWidth="1"/>
    <col min="13" max="14" width="8" style="121" bestFit="1" customWidth="1"/>
    <col min="15" max="16" width="12.7109375" style="121" bestFit="1" customWidth="1"/>
    <col min="17" max="16384" width="9.140625" style="121"/>
  </cols>
  <sheetData>
    <row r="1" spans="1:12" s="125" customFormat="1" ht="15" x14ac:dyDescent="0.2">
      <c r="A1" s="123" t="s">
        <v>89</v>
      </c>
      <c r="B1" s="123" t="s">
        <v>24</v>
      </c>
      <c r="C1" s="124" t="s">
        <v>91</v>
      </c>
      <c r="D1" s="124" t="s">
        <v>27</v>
      </c>
      <c r="E1" s="124" t="s">
        <v>2</v>
      </c>
      <c r="F1" s="124" t="s">
        <v>90</v>
      </c>
    </row>
    <row r="2" spans="1:12" x14ac:dyDescent="0.2">
      <c r="A2" s="121" t="s">
        <v>135</v>
      </c>
      <c r="B2" s="121" t="s">
        <v>136</v>
      </c>
      <c r="C2" s="122" t="s">
        <v>190</v>
      </c>
      <c r="D2" s="122" t="s">
        <v>200</v>
      </c>
      <c r="E2" s="122">
        <v>17.25</v>
      </c>
      <c r="F2" s="122" t="s">
        <v>139</v>
      </c>
    </row>
    <row r="3" spans="1:12" x14ac:dyDescent="0.2">
      <c r="A3" s="121" t="s">
        <v>149</v>
      </c>
      <c r="B3" s="121" t="s">
        <v>158</v>
      </c>
      <c r="C3" s="122" t="s">
        <v>191</v>
      </c>
      <c r="D3" s="122" t="s">
        <v>201</v>
      </c>
      <c r="E3" s="122">
        <v>14.75</v>
      </c>
      <c r="F3" s="122" t="s">
        <v>181</v>
      </c>
    </row>
    <row r="4" spans="1:12" x14ac:dyDescent="0.2">
      <c r="A4" s="121" t="s">
        <v>150</v>
      </c>
      <c r="B4" s="121" t="s">
        <v>159</v>
      </c>
      <c r="C4" s="122" t="s">
        <v>192</v>
      </c>
      <c r="D4" s="122" t="s">
        <v>202</v>
      </c>
      <c r="E4" s="122">
        <v>12.5</v>
      </c>
      <c r="F4" s="122" t="s">
        <v>182</v>
      </c>
    </row>
    <row r="5" spans="1:12" x14ac:dyDescent="0.2">
      <c r="A5" s="121" t="s">
        <v>151</v>
      </c>
      <c r="B5" s="121" t="s">
        <v>160</v>
      </c>
      <c r="C5" s="122" t="s">
        <v>193</v>
      </c>
      <c r="D5" s="122" t="s">
        <v>203</v>
      </c>
      <c r="E5" s="122">
        <v>14.75</v>
      </c>
      <c r="F5" s="122" t="s">
        <v>183</v>
      </c>
      <c r="I5" s="122"/>
      <c r="L5" s="122"/>
    </row>
    <row r="6" spans="1:12" x14ac:dyDescent="0.2">
      <c r="A6" s="121" t="s">
        <v>152</v>
      </c>
      <c r="B6" s="121" t="s">
        <v>161</v>
      </c>
      <c r="C6" s="122" t="s">
        <v>194</v>
      </c>
      <c r="D6" s="122" t="s">
        <v>204</v>
      </c>
      <c r="E6" s="122">
        <v>12.5</v>
      </c>
      <c r="F6" s="122" t="s">
        <v>184</v>
      </c>
      <c r="I6" s="122"/>
      <c r="L6" s="122"/>
    </row>
    <row r="7" spans="1:12" x14ac:dyDescent="0.2">
      <c r="A7" s="121" t="s">
        <v>153</v>
      </c>
      <c r="B7" s="121" t="s">
        <v>162</v>
      </c>
      <c r="C7" s="122" t="s">
        <v>195</v>
      </c>
      <c r="D7" s="122" t="s">
        <v>205</v>
      </c>
      <c r="E7" s="122">
        <v>14.75</v>
      </c>
      <c r="F7" s="122" t="s">
        <v>185</v>
      </c>
      <c r="I7" s="122"/>
      <c r="L7" s="122"/>
    </row>
    <row r="8" spans="1:12" x14ac:dyDescent="0.2">
      <c r="A8" s="121" t="s">
        <v>154</v>
      </c>
      <c r="B8" s="121" t="s">
        <v>163</v>
      </c>
      <c r="C8" s="122" t="s">
        <v>196</v>
      </c>
      <c r="D8" s="122" t="s">
        <v>206</v>
      </c>
      <c r="E8" s="122">
        <v>17.25</v>
      </c>
      <c r="F8" s="122" t="s">
        <v>186</v>
      </c>
      <c r="I8" s="122"/>
      <c r="L8" s="122"/>
    </row>
    <row r="9" spans="1:12" x14ac:dyDescent="0.2">
      <c r="A9" s="121" t="s">
        <v>155</v>
      </c>
      <c r="B9" s="121" t="s">
        <v>164</v>
      </c>
      <c r="C9" s="122" t="s">
        <v>197</v>
      </c>
      <c r="D9" s="122" t="s">
        <v>207</v>
      </c>
      <c r="E9" s="122">
        <v>14.75</v>
      </c>
      <c r="F9" s="122" t="s">
        <v>187</v>
      </c>
      <c r="L9" s="122"/>
    </row>
    <row r="10" spans="1:12" x14ac:dyDescent="0.2">
      <c r="A10" s="121" t="s">
        <v>156</v>
      </c>
      <c r="B10" s="121" t="s">
        <v>165</v>
      </c>
      <c r="C10" s="122" t="s">
        <v>198</v>
      </c>
      <c r="D10" s="122" t="s">
        <v>208</v>
      </c>
      <c r="E10" s="122">
        <v>17.25</v>
      </c>
      <c r="F10" s="122" t="s">
        <v>188</v>
      </c>
    </row>
    <row r="11" spans="1:12" x14ac:dyDescent="0.2">
      <c r="A11" s="121" t="s">
        <v>157</v>
      </c>
      <c r="B11" s="121" t="s">
        <v>166</v>
      </c>
      <c r="C11" s="122" t="s">
        <v>199</v>
      </c>
      <c r="D11" s="122" t="s">
        <v>209</v>
      </c>
      <c r="E11" s="122">
        <v>12.5</v>
      </c>
      <c r="F11" s="122" t="s">
        <v>189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60743-1661-4ACB-96A7-1C92EE82F879}">
  <sheetPr codeName="Sheet6">
    <tabColor rgb="FFC00000"/>
  </sheetPr>
  <dimension ref="A1"/>
  <sheetViews>
    <sheetView workbookViewId="0">
      <selection activeCell="B6" sqref="B6"/>
    </sheetView>
  </sheetViews>
  <sheetFormatPr defaultRowHeight="15" x14ac:dyDescent="0.25"/>
  <sheetData>
    <row r="1" spans="1:1" x14ac:dyDescent="0.25">
      <c r="A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3350-118B-43ED-8AED-D8709E9AE9BB}">
  <sheetPr codeName="Sheet8">
    <tabColor rgb="FF00B0F0"/>
  </sheetPr>
  <dimension ref="A1:G66"/>
  <sheetViews>
    <sheetView workbookViewId="0">
      <selection activeCell="C6" sqref="C6"/>
    </sheetView>
  </sheetViews>
  <sheetFormatPr defaultRowHeight="14.25" x14ac:dyDescent="0.2"/>
  <cols>
    <col min="1" max="1" width="16.42578125" style="5" bestFit="1" customWidth="1"/>
    <col min="2" max="2" width="28.85546875" style="5" customWidth="1"/>
    <col min="3" max="3" width="20.42578125" style="5" customWidth="1"/>
    <col min="4" max="4" width="21.28515625" style="5" customWidth="1"/>
    <col min="5" max="5" width="14.28515625" style="5" bestFit="1" customWidth="1"/>
    <col min="6" max="6" width="19" style="5" bestFit="1" customWidth="1"/>
    <col min="7" max="7" width="18.5703125" style="5" customWidth="1"/>
    <col min="8" max="16384" width="9.140625" style="5"/>
  </cols>
  <sheetData>
    <row r="1" spans="1:7" ht="18.75" thickBot="1" x14ac:dyDescent="0.3">
      <c r="A1" s="52" t="s">
        <v>28</v>
      </c>
      <c r="B1" s="53"/>
      <c r="C1" s="53"/>
      <c r="D1" s="53"/>
      <c r="E1" s="54"/>
      <c r="F1" s="67"/>
      <c r="G1" s="67"/>
    </row>
    <row r="2" spans="1:7" ht="15" x14ac:dyDescent="0.2">
      <c r="A2" s="68" t="s">
        <v>9</v>
      </c>
      <c r="B2" s="69"/>
      <c r="C2" s="61" t="s">
        <v>29</v>
      </c>
      <c r="D2" s="61" t="s">
        <v>31</v>
      </c>
      <c r="E2" s="62"/>
      <c r="F2" s="55" t="s">
        <v>87</v>
      </c>
      <c r="G2" s="56"/>
    </row>
    <row r="3" spans="1:7" ht="15" x14ac:dyDescent="0.2">
      <c r="A3" s="57" t="s">
        <v>8</v>
      </c>
      <c r="B3" s="15" t="s">
        <v>134</v>
      </c>
      <c r="C3" s="16">
        <f>SUM(B14:B21)</f>
        <v>168.68</v>
      </c>
      <c r="D3" s="16">
        <f>SUM(B38:B59)</f>
        <v>463.16999999999996</v>
      </c>
      <c r="E3" s="63" t="s">
        <v>95</v>
      </c>
      <c r="F3" s="138">
        <v>0</v>
      </c>
      <c r="G3" s="139"/>
    </row>
    <row r="4" spans="1:7" ht="15" x14ac:dyDescent="0.2">
      <c r="A4" s="57"/>
      <c r="B4" s="15"/>
      <c r="C4" s="17">
        <v>3000</v>
      </c>
      <c r="D4" s="18">
        <v>2600</v>
      </c>
      <c r="E4" s="63" t="s">
        <v>97</v>
      </c>
      <c r="F4" s="64" t="s">
        <v>7</v>
      </c>
      <c r="G4" s="65"/>
    </row>
    <row r="5" spans="1:7" ht="15" x14ac:dyDescent="0.2">
      <c r="A5" s="57" t="s">
        <v>6</v>
      </c>
      <c r="B5" s="19" t="s">
        <v>135</v>
      </c>
      <c r="C5" s="20">
        <f>SUM(D14:D21)</f>
        <v>2909.7300000000005</v>
      </c>
      <c r="D5" s="18">
        <f>SUM(D60:D66)</f>
        <v>2559.0374999999999</v>
      </c>
      <c r="E5" s="63" t="s">
        <v>1</v>
      </c>
      <c r="F5" s="21" t="s">
        <v>96</v>
      </c>
      <c r="G5" s="144">
        <f>C3+C9+D9+D3</f>
        <v>1115.95</v>
      </c>
    </row>
    <row r="6" spans="1:7" ht="15" x14ac:dyDescent="0.2">
      <c r="A6" s="57"/>
      <c r="B6" s="19"/>
      <c r="C6" s="23">
        <f>C4-C5</f>
        <v>90.269999999999527</v>
      </c>
      <c r="D6" s="18">
        <f>D4-D5</f>
        <v>40.962500000000091</v>
      </c>
      <c r="E6" s="63" t="s">
        <v>0</v>
      </c>
      <c r="F6" s="21" t="s">
        <v>98</v>
      </c>
      <c r="G6" s="22">
        <f>C4+C10+D4+D10</f>
        <v>19400</v>
      </c>
    </row>
    <row r="7" spans="1:7" ht="15" customHeight="1" x14ac:dyDescent="0.2">
      <c r="A7" s="57" t="s">
        <v>4</v>
      </c>
      <c r="B7" s="19" t="s">
        <v>137</v>
      </c>
      <c r="C7" s="58" t="s">
        <v>30</v>
      </c>
      <c r="D7" s="58" t="s">
        <v>32</v>
      </c>
      <c r="E7" s="66"/>
      <c r="F7" s="24" t="s">
        <v>5</v>
      </c>
      <c r="G7" s="22">
        <f>G5*B11</f>
        <v>19250.137500000001</v>
      </c>
    </row>
    <row r="8" spans="1:7" x14ac:dyDescent="0.2">
      <c r="A8" s="57"/>
      <c r="B8" s="19"/>
      <c r="C8" s="58"/>
      <c r="D8" s="58"/>
      <c r="E8" s="66"/>
      <c r="F8" s="25" t="s">
        <v>11</v>
      </c>
      <c r="G8" s="22">
        <f>(G7-G6)+F3</f>
        <v>-149.86249999999927</v>
      </c>
    </row>
    <row r="9" spans="1:7" ht="15.75" thickBot="1" x14ac:dyDescent="0.25">
      <c r="A9" s="57" t="s">
        <v>86</v>
      </c>
      <c r="B9" s="19" t="s">
        <v>12</v>
      </c>
      <c r="C9" s="26">
        <f>SUM(B22:B37)</f>
        <v>335.75000000000006</v>
      </c>
      <c r="D9" s="26">
        <f>SUM(B60:B66)</f>
        <v>148.35</v>
      </c>
      <c r="E9" s="63" t="s">
        <v>95</v>
      </c>
      <c r="F9" s="27" t="s">
        <v>3</v>
      </c>
      <c r="G9" s="28">
        <f>IFERROR(G8/B11, 0)</f>
        <v>-8.6876811594202472</v>
      </c>
    </row>
    <row r="10" spans="1:7" ht="15" x14ac:dyDescent="0.2">
      <c r="A10" s="57"/>
      <c r="B10" s="19"/>
      <c r="C10" s="29">
        <v>5800</v>
      </c>
      <c r="D10" s="18">
        <v>8000</v>
      </c>
      <c r="E10" s="63" t="s">
        <v>97</v>
      </c>
    </row>
    <row r="11" spans="1:7" ht="15" x14ac:dyDescent="0.2">
      <c r="A11" s="57" t="s">
        <v>2</v>
      </c>
      <c r="B11" s="30">
        <v>17.25</v>
      </c>
      <c r="C11" s="31">
        <f>SUM(D22:D37)</f>
        <v>5791.6875</v>
      </c>
      <c r="D11" s="18">
        <f>SUM(D38:D59)</f>
        <v>7989.6824999999999</v>
      </c>
      <c r="E11" s="63" t="s">
        <v>1</v>
      </c>
    </row>
    <row r="12" spans="1:7" ht="15" x14ac:dyDescent="0.2">
      <c r="A12" s="57"/>
      <c r="B12" s="30"/>
      <c r="C12" s="18">
        <f>C10-C11</f>
        <v>8.3125</v>
      </c>
      <c r="D12" s="18">
        <f>D10-D11</f>
        <v>10.317500000000109</v>
      </c>
      <c r="E12" s="63" t="s">
        <v>0</v>
      </c>
    </row>
    <row r="13" spans="1:7" ht="18.75" customHeight="1" thickBot="1" x14ac:dyDescent="0.25">
      <c r="A13" s="59" t="s">
        <v>17</v>
      </c>
      <c r="B13" s="60" t="s">
        <v>95</v>
      </c>
      <c r="C13" s="60" t="s">
        <v>87</v>
      </c>
      <c r="D13" s="60" t="s">
        <v>94</v>
      </c>
      <c r="E13" s="32"/>
    </row>
    <row r="14" spans="1:7" x14ac:dyDescent="0.2">
      <c r="A14" s="140" t="s">
        <v>33</v>
      </c>
      <c r="B14" s="146">
        <v>21.44</v>
      </c>
      <c r="C14" s="34">
        <v>0</v>
      </c>
      <c r="D14" s="149">
        <f>B14*$B$11</f>
        <v>369.84000000000003</v>
      </c>
      <c r="E14" s="36"/>
    </row>
    <row r="15" spans="1:7" x14ac:dyDescent="0.2">
      <c r="A15" s="141" t="s">
        <v>34</v>
      </c>
      <c r="B15" s="147">
        <v>20.91</v>
      </c>
      <c r="C15" s="38">
        <v>0</v>
      </c>
      <c r="D15" s="150">
        <f t="shared" ref="D14:D66" si="0">B15*$B$11</f>
        <v>360.69749999999999</v>
      </c>
      <c r="E15" s="36"/>
    </row>
    <row r="16" spans="1:7" x14ac:dyDescent="0.2">
      <c r="A16" s="141" t="s">
        <v>35</v>
      </c>
      <c r="B16" s="147">
        <v>22.1</v>
      </c>
      <c r="C16" s="38">
        <v>0</v>
      </c>
      <c r="D16" s="150">
        <f t="shared" si="0"/>
        <v>381.22500000000002</v>
      </c>
      <c r="E16" s="36"/>
    </row>
    <row r="17" spans="1:5" x14ac:dyDescent="0.2">
      <c r="A17" s="141" t="s">
        <v>36</v>
      </c>
      <c r="B17" s="147">
        <v>19.88</v>
      </c>
      <c r="C17" s="38">
        <v>0</v>
      </c>
      <c r="D17" s="150">
        <f t="shared" si="0"/>
        <v>342.93</v>
      </c>
      <c r="E17" s="36"/>
    </row>
    <row r="18" spans="1:5" x14ac:dyDescent="0.2">
      <c r="A18" s="141" t="s">
        <v>37</v>
      </c>
      <c r="B18" s="147">
        <v>21.77</v>
      </c>
      <c r="C18" s="38">
        <v>0</v>
      </c>
      <c r="D18" s="150">
        <f t="shared" si="0"/>
        <v>375.53249999999997</v>
      </c>
      <c r="E18" s="36"/>
    </row>
    <row r="19" spans="1:5" x14ac:dyDescent="0.2">
      <c r="A19" s="141" t="s">
        <v>38</v>
      </c>
      <c r="B19" s="147">
        <v>20.350000000000001</v>
      </c>
      <c r="C19" s="38">
        <v>0</v>
      </c>
      <c r="D19" s="150">
        <f t="shared" si="0"/>
        <v>351.03750000000002</v>
      </c>
      <c r="E19" s="36"/>
    </row>
    <row r="20" spans="1:5" x14ac:dyDescent="0.2">
      <c r="A20" s="141" t="s">
        <v>39</v>
      </c>
      <c r="B20" s="147">
        <v>22.68</v>
      </c>
      <c r="C20" s="38">
        <v>0</v>
      </c>
      <c r="D20" s="150">
        <f t="shared" si="0"/>
        <v>391.23</v>
      </c>
      <c r="E20" s="36"/>
    </row>
    <row r="21" spans="1:5" x14ac:dyDescent="0.2">
      <c r="A21" s="141" t="s">
        <v>40</v>
      </c>
      <c r="B21" s="147">
        <v>19.55</v>
      </c>
      <c r="C21" s="38">
        <v>0</v>
      </c>
      <c r="D21" s="150">
        <f t="shared" si="0"/>
        <v>337.23750000000001</v>
      </c>
      <c r="E21" s="36"/>
    </row>
    <row r="22" spans="1:5" x14ac:dyDescent="0.2">
      <c r="A22" s="141" t="s">
        <v>41</v>
      </c>
      <c r="B22" s="147">
        <v>21.03</v>
      </c>
      <c r="C22" s="38">
        <v>0</v>
      </c>
      <c r="D22" s="150">
        <f t="shared" si="0"/>
        <v>362.76750000000004</v>
      </c>
      <c r="E22" s="36"/>
    </row>
    <row r="23" spans="1:5" x14ac:dyDescent="0.2">
      <c r="A23" s="141" t="s">
        <v>42</v>
      </c>
      <c r="B23" s="147">
        <v>20.62</v>
      </c>
      <c r="C23" s="38">
        <v>0</v>
      </c>
      <c r="D23" s="150">
        <f t="shared" si="0"/>
        <v>355.69499999999999</v>
      </c>
      <c r="E23" s="36"/>
    </row>
    <row r="24" spans="1:5" x14ac:dyDescent="0.2">
      <c r="A24" s="141" t="s">
        <v>43</v>
      </c>
      <c r="B24" s="147">
        <v>22.25</v>
      </c>
      <c r="C24" s="38">
        <v>0</v>
      </c>
      <c r="D24" s="150">
        <f t="shared" si="0"/>
        <v>383.8125</v>
      </c>
      <c r="E24" s="36"/>
    </row>
    <row r="25" spans="1:5" x14ac:dyDescent="0.2">
      <c r="A25" s="141" t="s">
        <v>44</v>
      </c>
      <c r="B25" s="147">
        <v>19.739999999999998</v>
      </c>
      <c r="C25" s="38">
        <v>0</v>
      </c>
      <c r="D25" s="150">
        <f t="shared" si="0"/>
        <v>340.51499999999999</v>
      </c>
      <c r="E25" s="36"/>
    </row>
    <row r="26" spans="1:5" x14ac:dyDescent="0.2">
      <c r="A26" s="141" t="s">
        <v>45</v>
      </c>
      <c r="B26" s="147">
        <v>21.58</v>
      </c>
      <c r="C26" s="38">
        <v>0</v>
      </c>
      <c r="D26" s="150">
        <f t="shared" si="0"/>
        <v>372.255</v>
      </c>
      <c r="E26" s="36"/>
    </row>
    <row r="27" spans="1:5" x14ac:dyDescent="0.2">
      <c r="A27" s="141" t="s">
        <v>46</v>
      </c>
      <c r="B27" s="147">
        <v>20.28</v>
      </c>
      <c r="C27" s="38">
        <v>0</v>
      </c>
      <c r="D27" s="150">
        <f t="shared" si="0"/>
        <v>349.83000000000004</v>
      </c>
      <c r="E27" s="36"/>
    </row>
    <row r="28" spans="1:5" x14ac:dyDescent="0.2">
      <c r="A28" s="141" t="s">
        <v>47</v>
      </c>
      <c r="B28" s="147">
        <v>22.49</v>
      </c>
      <c r="C28" s="38">
        <v>0</v>
      </c>
      <c r="D28" s="150">
        <f t="shared" si="0"/>
        <v>387.95249999999999</v>
      </c>
      <c r="E28" s="36"/>
    </row>
    <row r="29" spans="1:5" x14ac:dyDescent="0.2">
      <c r="A29" s="141" t="s">
        <v>48</v>
      </c>
      <c r="B29" s="147">
        <v>19.63</v>
      </c>
      <c r="C29" s="38">
        <v>0</v>
      </c>
      <c r="D29" s="150">
        <f t="shared" si="0"/>
        <v>338.61750000000001</v>
      </c>
      <c r="E29" s="36"/>
    </row>
    <row r="30" spans="1:5" x14ac:dyDescent="0.2">
      <c r="A30" s="141" t="s">
        <v>49</v>
      </c>
      <c r="B30" s="147">
        <v>21.16</v>
      </c>
      <c r="C30" s="38">
        <v>0</v>
      </c>
      <c r="D30" s="150">
        <f t="shared" si="0"/>
        <v>365.01</v>
      </c>
      <c r="E30" s="36"/>
    </row>
    <row r="31" spans="1:5" x14ac:dyDescent="0.2">
      <c r="A31" s="141" t="s">
        <v>50</v>
      </c>
      <c r="B31" s="147">
        <v>20.71</v>
      </c>
      <c r="C31" s="38">
        <v>0</v>
      </c>
      <c r="D31" s="150">
        <f t="shared" si="0"/>
        <v>357.2475</v>
      </c>
      <c r="E31" s="36"/>
    </row>
    <row r="32" spans="1:5" x14ac:dyDescent="0.2">
      <c r="A32" s="141" t="s">
        <v>51</v>
      </c>
      <c r="B32" s="147">
        <v>22.31</v>
      </c>
      <c r="C32" s="38">
        <v>0</v>
      </c>
      <c r="D32" s="150">
        <f t="shared" si="0"/>
        <v>384.84749999999997</v>
      </c>
      <c r="E32" s="36"/>
    </row>
    <row r="33" spans="1:5" x14ac:dyDescent="0.2">
      <c r="A33" s="141" t="s">
        <v>52</v>
      </c>
      <c r="B33" s="147">
        <v>19.82</v>
      </c>
      <c r="C33" s="38">
        <v>0</v>
      </c>
      <c r="D33" s="150">
        <f t="shared" si="0"/>
        <v>341.89499999999998</v>
      </c>
      <c r="E33" s="36"/>
    </row>
    <row r="34" spans="1:5" x14ac:dyDescent="0.2">
      <c r="A34" s="141" t="s">
        <v>53</v>
      </c>
      <c r="B34" s="147">
        <v>21.61</v>
      </c>
      <c r="C34" s="38">
        <v>0</v>
      </c>
      <c r="D34" s="150">
        <f t="shared" si="0"/>
        <v>372.77249999999998</v>
      </c>
      <c r="E34" s="36"/>
    </row>
    <row r="35" spans="1:5" x14ac:dyDescent="0.2">
      <c r="A35" s="141" t="s">
        <v>54</v>
      </c>
      <c r="B35" s="147">
        <v>20.329999999999998</v>
      </c>
      <c r="C35" s="38">
        <v>0</v>
      </c>
      <c r="D35" s="150">
        <f t="shared" si="0"/>
        <v>350.6925</v>
      </c>
      <c r="E35" s="36"/>
    </row>
    <row r="36" spans="1:5" x14ac:dyDescent="0.2">
      <c r="A36" s="141" t="s">
        <v>55</v>
      </c>
      <c r="B36" s="147">
        <v>22.53</v>
      </c>
      <c r="C36" s="38">
        <v>0</v>
      </c>
      <c r="D36" s="150">
        <f t="shared" si="0"/>
        <v>388.64250000000004</v>
      </c>
      <c r="E36" s="36"/>
    </row>
    <row r="37" spans="1:5" x14ac:dyDescent="0.2">
      <c r="A37" s="141" t="s">
        <v>56</v>
      </c>
      <c r="B37" s="147">
        <v>19.66</v>
      </c>
      <c r="C37" s="38">
        <v>0</v>
      </c>
      <c r="D37" s="150">
        <f t="shared" si="0"/>
        <v>339.13499999999999</v>
      </c>
      <c r="E37" s="36"/>
    </row>
    <row r="38" spans="1:5" x14ac:dyDescent="0.2">
      <c r="A38" s="141" t="s">
        <v>57</v>
      </c>
      <c r="B38" s="147">
        <v>21.2</v>
      </c>
      <c r="C38" s="38">
        <v>0</v>
      </c>
      <c r="D38" s="150">
        <f t="shared" si="0"/>
        <v>365.7</v>
      </c>
      <c r="E38" s="36"/>
    </row>
    <row r="39" spans="1:5" x14ac:dyDescent="0.2">
      <c r="A39" s="141" t="s">
        <v>58</v>
      </c>
      <c r="B39" s="147">
        <v>20.75</v>
      </c>
      <c r="C39" s="38">
        <v>0</v>
      </c>
      <c r="D39" s="150">
        <f t="shared" si="0"/>
        <v>357.9375</v>
      </c>
      <c r="E39" s="36"/>
    </row>
    <row r="40" spans="1:5" x14ac:dyDescent="0.2">
      <c r="A40" s="141" t="s">
        <v>59</v>
      </c>
      <c r="B40" s="147">
        <v>22.33</v>
      </c>
      <c r="C40" s="38">
        <v>0</v>
      </c>
      <c r="D40" s="150">
        <f t="shared" si="0"/>
        <v>385.1925</v>
      </c>
      <c r="E40" s="36"/>
    </row>
    <row r="41" spans="1:5" x14ac:dyDescent="0.2">
      <c r="A41" s="141" t="s">
        <v>60</v>
      </c>
      <c r="B41" s="147">
        <v>19.84</v>
      </c>
      <c r="C41" s="38">
        <v>0</v>
      </c>
      <c r="D41" s="150">
        <f t="shared" si="0"/>
        <v>342.24</v>
      </c>
      <c r="E41" s="36"/>
    </row>
    <row r="42" spans="1:5" x14ac:dyDescent="0.2">
      <c r="A42" s="141" t="s">
        <v>61</v>
      </c>
      <c r="B42" s="147">
        <v>21.63</v>
      </c>
      <c r="C42" s="38">
        <v>0</v>
      </c>
      <c r="D42" s="150">
        <f t="shared" si="0"/>
        <v>373.11750000000001</v>
      </c>
      <c r="E42" s="36"/>
    </row>
    <row r="43" spans="1:5" x14ac:dyDescent="0.2">
      <c r="A43" s="141" t="s">
        <v>62</v>
      </c>
      <c r="B43" s="147">
        <v>20.36</v>
      </c>
      <c r="C43" s="38">
        <v>0</v>
      </c>
      <c r="D43" s="150">
        <f t="shared" si="0"/>
        <v>351.21</v>
      </c>
      <c r="E43" s="36"/>
    </row>
    <row r="44" spans="1:5" x14ac:dyDescent="0.2">
      <c r="A44" s="141" t="s">
        <v>63</v>
      </c>
      <c r="B44" s="147">
        <v>22.55</v>
      </c>
      <c r="C44" s="38">
        <v>0</v>
      </c>
      <c r="D44" s="150">
        <f t="shared" si="0"/>
        <v>388.98750000000001</v>
      </c>
      <c r="E44" s="36"/>
    </row>
    <row r="45" spans="1:5" x14ac:dyDescent="0.2">
      <c r="A45" s="141" t="s">
        <v>64</v>
      </c>
      <c r="B45" s="147">
        <v>19.670000000000002</v>
      </c>
      <c r="C45" s="38">
        <v>0</v>
      </c>
      <c r="D45" s="150">
        <f t="shared" si="0"/>
        <v>339.3075</v>
      </c>
      <c r="E45" s="36"/>
    </row>
    <row r="46" spans="1:5" x14ac:dyDescent="0.2">
      <c r="A46" s="141" t="s">
        <v>65</v>
      </c>
      <c r="B46" s="147">
        <v>21.22</v>
      </c>
      <c r="C46" s="38">
        <v>0</v>
      </c>
      <c r="D46" s="150">
        <f t="shared" si="0"/>
        <v>366.04499999999996</v>
      </c>
      <c r="E46" s="36"/>
    </row>
    <row r="47" spans="1:5" x14ac:dyDescent="0.2">
      <c r="A47" s="141" t="s">
        <v>66</v>
      </c>
      <c r="B47" s="147">
        <v>20.77</v>
      </c>
      <c r="C47" s="38">
        <v>0</v>
      </c>
      <c r="D47" s="150">
        <f t="shared" si="0"/>
        <v>358.28249999999997</v>
      </c>
      <c r="E47" s="36"/>
    </row>
    <row r="48" spans="1:5" x14ac:dyDescent="0.2">
      <c r="A48" s="141" t="s">
        <v>67</v>
      </c>
      <c r="B48" s="147">
        <v>22.35</v>
      </c>
      <c r="C48" s="38">
        <v>0</v>
      </c>
      <c r="D48" s="150">
        <f t="shared" si="0"/>
        <v>385.53750000000002</v>
      </c>
      <c r="E48" s="36"/>
    </row>
    <row r="49" spans="1:5" x14ac:dyDescent="0.2">
      <c r="A49" s="141" t="s">
        <v>68</v>
      </c>
      <c r="B49" s="147">
        <v>19.86</v>
      </c>
      <c r="C49" s="38">
        <v>0</v>
      </c>
      <c r="D49" s="150">
        <f t="shared" si="0"/>
        <v>342.58499999999998</v>
      </c>
      <c r="E49" s="36"/>
    </row>
    <row r="50" spans="1:5" x14ac:dyDescent="0.2">
      <c r="A50" s="141" t="s">
        <v>69</v>
      </c>
      <c r="B50" s="147">
        <v>21.65</v>
      </c>
      <c r="C50" s="38">
        <v>0</v>
      </c>
      <c r="D50" s="150">
        <f t="shared" si="0"/>
        <v>373.46249999999998</v>
      </c>
      <c r="E50" s="36"/>
    </row>
    <row r="51" spans="1:5" x14ac:dyDescent="0.2">
      <c r="A51" s="141" t="s">
        <v>70</v>
      </c>
      <c r="B51" s="147">
        <v>20.38</v>
      </c>
      <c r="C51" s="38">
        <v>0</v>
      </c>
      <c r="D51" s="150">
        <f t="shared" si="0"/>
        <v>351.55500000000001</v>
      </c>
      <c r="E51" s="36"/>
    </row>
    <row r="52" spans="1:5" x14ac:dyDescent="0.2">
      <c r="A52" s="141" t="s">
        <v>71</v>
      </c>
      <c r="B52" s="147">
        <v>22.57</v>
      </c>
      <c r="C52" s="38">
        <v>0</v>
      </c>
      <c r="D52" s="150">
        <f t="shared" si="0"/>
        <v>389.33249999999998</v>
      </c>
      <c r="E52" s="36"/>
    </row>
    <row r="53" spans="1:5" x14ac:dyDescent="0.2">
      <c r="A53" s="141" t="s">
        <v>72</v>
      </c>
      <c r="B53" s="147">
        <v>19.690000000000001</v>
      </c>
      <c r="C53" s="38">
        <v>0</v>
      </c>
      <c r="D53" s="150">
        <f t="shared" si="0"/>
        <v>339.65250000000003</v>
      </c>
      <c r="E53" s="36"/>
    </row>
    <row r="54" spans="1:5" x14ac:dyDescent="0.2">
      <c r="A54" s="141" t="s">
        <v>73</v>
      </c>
      <c r="B54" s="147">
        <v>21.24</v>
      </c>
      <c r="C54" s="38">
        <v>0</v>
      </c>
      <c r="D54" s="150">
        <f t="shared" si="0"/>
        <v>366.39</v>
      </c>
      <c r="E54" s="36"/>
    </row>
    <row r="55" spans="1:5" x14ac:dyDescent="0.2">
      <c r="A55" s="141" t="s">
        <v>74</v>
      </c>
      <c r="B55" s="147">
        <v>20.79</v>
      </c>
      <c r="C55" s="38">
        <v>0</v>
      </c>
      <c r="D55" s="150">
        <f t="shared" si="0"/>
        <v>358.6275</v>
      </c>
      <c r="E55" s="36"/>
    </row>
    <row r="56" spans="1:5" x14ac:dyDescent="0.2">
      <c r="A56" s="141" t="s">
        <v>75</v>
      </c>
      <c r="B56" s="147">
        <v>22.37</v>
      </c>
      <c r="C56" s="38">
        <v>0</v>
      </c>
      <c r="D56" s="150">
        <f t="shared" si="0"/>
        <v>385.88249999999999</v>
      </c>
      <c r="E56" s="36"/>
    </row>
    <row r="57" spans="1:5" x14ac:dyDescent="0.2">
      <c r="A57" s="141" t="s">
        <v>76</v>
      </c>
      <c r="B57" s="147">
        <v>19.88</v>
      </c>
      <c r="C57" s="38">
        <v>0</v>
      </c>
      <c r="D57" s="150">
        <f t="shared" si="0"/>
        <v>342.93</v>
      </c>
      <c r="E57" s="36"/>
    </row>
    <row r="58" spans="1:5" x14ac:dyDescent="0.2">
      <c r="A58" s="141" t="s">
        <v>77</v>
      </c>
      <c r="B58" s="147">
        <v>21.67</v>
      </c>
      <c r="C58" s="38">
        <v>0</v>
      </c>
      <c r="D58" s="150">
        <f t="shared" si="0"/>
        <v>373.8075</v>
      </c>
      <c r="E58" s="36"/>
    </row>
    <row r="59" spans="1:5" x14ac:dyDescent="0.2">
      <c r="A59" s="141" t="s">
        <v>78</v>
      </c>
      <c r="B59" s="147">
        <v>20.399999999999999</v>
      </c>
      <c r="C59" s="38">
        <v>0</v>
      </c>
      <c r="D59" s="150">
        <f t="shared" si="0"/>
        <v>351.9</v>
      </c>
      <c r="E59" s="36"/>
    </row>
    <row r="60" spans="1:5" x14ac:dyDescent="0.2">
      <c r="A60" s="141" t="s">
        <v>79</v>
      </c>
      <c r="B60" s="147">
        <v>22.59</v>
      </c>
      <c r="C60" s="38">
        <v>0</v>
      </c>
      <c r="D60" s="150">
        <f t="shared" si="0"/>
        <v>389.67750000000001</v>
      </c>
      <c r="E60" s="36"/>
    </row>
    <row r="61" spans="1:5" x14ac:dyDescent="0.2">
      <c r="A61" s="141" t="s">
        <v>80</v>
      </c>
      <c r="B61" s="147">
        <v>19.71</v>
      </c>
      <c r="C61" s="38">
        <v>0</v>
      </c>
      <c r="D61" s="150">
        <f t="shared" si="0"/>
        <v>339.9975</v>
      </c>
      <c r="E61" s="36"/>
    </row>
    <row r="62" spans="1:5" x14ac:dyDescent="0.2">
      <c r="A62" s="141" t="s">
        <v>81</v>
      </c>
      <c r="B62" s="147">
        <v>21.26</v>
      </c>
      <c r="C62" s="38">
        <v>0</v>
      </c>
      <c r="D62" s="150">
        <f t="shared" si="0"/>
        <v>366.73500000000001</v>
      </c>
      <c r="E62" s="36"/>
    </row>
    <row r="63" spans="1:5" x14ac:dyDescent="0.2">
      <c r="A63" s="141" t="s">
        <v>82</v>
      </c>
      <c r="B63" s="147">
        <v>20.81</v>
      </c>
      <c r="C63" s="38">
        <v>0</v>
      </c>
      <c r="D63" s="150">
        <f t="shared" si="0"/>
        <v>358.97249999999997</v>
      </c>
      <c r="E63" s="36"/>
    </row>
    <row r="64" spans="1:5" x14ac:dyDescent="0.2">
      <c r="A64" s="142" t="s">
        <v>83</v>
      </c>
      <c r="B64" s="147">
        <v>22.39</v>
      </c>
      <c r="C64" s="38">
        <v>0</v>
      </c>
      <c r="D64" s="150">
        <f t="shared" si="0"/>
        <v>386.22750000000002</v>
      </c>
      <c r="E64" s="36"/>
    </row>
    <row r="65" spans="1:5" x14ac:dyDescent="0.2">
      <c r="A65" s="142" t="s">
        <v>84</v>
      </c>
      <c r="B65" s="147">
        <v>19.899999999999999</v>
      </c>
      <c r="C65" s="38">
        <v>0</v>
      </c>
      <c r="D65" s="150">
        <f t="shared" si="0"/>
        <v>343.27499999999998</v>
      </c>
      <c r="E65" s="36"/>
    </row>
    <row r="66" spans="1:5" ht="15" thickBot="1" x14ac:dyDescent="0.25">
      <c r="A66" s="143" t="s">
        <v>85</v>
      </c>
      <c r="B66" s="148">
        <v>21.69</v>
      </c>
      <c r="C66" s="41">
        <v>0</v>
      </c>
      <c r="D66" s="151">
        <f t="shared" si="0"/>
        <v>374.15250000000003</v>
      </c>
      <c r="E66" s="43"/>
    </row>
  </sheetData>
  <mergeCells count="19">
    <mergeCell ref="E7:E8"/>
    <mergeCell ref="A9:A10"/>
    <mergeCell ref="B9:B10"/>
    <mergeCell ref="A11:A12"/>
    <mergeCell ref="B11:B12"/>
    <mergeCell ref="E13:E66"/>
    <mergeCell ref="A5:A6"/>
    <mergeCell ref="B5:B6"/>
    <mergeCell ref="A7:A8"/>
    <mergeCell ref="B7:B8"/>
    <mergeCell ref="C7:C8"/>
    <mergeCell ref="D7:D8"/>
    <mergeCell ref="A1:E1"/>
    <mergeCell ref="A2:B2"/>
    <mergeCell ref="F2:G2"/>
    <mergeCell ref="A3:A4"/>
    <mergeCell ref="B3:B4"/>
    <mergeCell ref="F3:G3"/>
    <mergeCell ref="F4:G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B712B-F23C-46F0-97E1-512751E4606C}">
  <sheetPr codeName="Sheet10">
    <tabColor rgb="FF00B0F0"/>
  </sheetPr>
  <dimension ref="A1:G66"/>
  <sheetViews>
    <sheetView workbookViewId="0">
      <selection activeCell="C4" sqref="C4"/>
    </sheetView>
  </sheetViews>
  <sheetFormatPr defaultRowHeight="14.25" x14ac:dyDescent="0.2"/>
  <cols>
    <col min="1" max="1" width="16.42578125" style="5" bestFit="1" customWidth="1"/>
    <col min="2" max="2" width="28.85546875" style="5" customWidth="1"/>
    <col min="3" max="3" width="20.42578125" style="5" customWidth="1"/>
    <col min="4" max="4" width="21.28515625" style="5" customWidth="1"/>
    <col min="5" max="5" width="14.28515625" style="5" bestFit="1" customWidth="1"/>
    <col min="6" max="6" width="19" style="5" bestFit="1" customWidth="1"/>
    <col min="7" max="7" width="18.5703125" style="5" customWidth="1"/>
    <col min="8" max="16384" width="9.140625" style="5"/>
  </cols>
  <sheetData>
    <row r="1" spans="1:7" ht="18.75" thickBot="1" x14ac:dyDescent="0.3">
      <c r="A1" s="52" t="s">
        <v>28</v>
      </c>
      <c r="B1" s="53"/>
      <c r="C1" s="53"/>
      <c r="D1" s="53"/>
      <c r="E1" s="54"/>
      <c r="F1" s="67"/>
      <c r="G1" s="67"/>
    </row>
    <row r="2" spans="1:7" ht="15" x14ac:dyDescent="0.2">
      <c r="A2" s="68" t="s">
        <v>9</v>
      </c>
      <c r="B2" s="69"/>
      <c r="C2" s="61" t="s">
        <v>29</v>
      </c>
      <c r="D2" s="61" t="s">
        <v>31</v>
      </c>
      <c r="E2" s="62"/>
      <c r="F2" s="55" t="s">
        <v>87</v>
      </c>
      <c r="G2" s="56"/>
    </row>
    <row r="3" spans="1:7" ht="15" x14ac:dyDescent="0.2">
      <c r="A3" s="57" t="s">
        <v>8</v>
      </c>
      <c r="B3" s="15" t="s">
        <v>140</v>
      </c>
      <c r="C3" s="16">
        <f>SUM(B14:B21)</f>
        <v>136.16999999999999</v>
      </c>
      <c r="D3" s="16">
        <f>SUM(B38:B59)</f>
        <v>372.73999999999995</v>
      </c>
      <c r="E3" s="63" t="s">
        <v>95</v>
      </c>
      <c r="F3" s="138">
        <v>0</v>
      </c>
      <c r="G3" s="139"/>
    </row>
    <row r="4" spans="1:7" ht="15" x14ac:dyDescent="0.2">
      <c r="A4" s="57"/>
      <c r="B4" s="15"/>
      <c r="C4" s="17">
        <v>2100</v>
      </c>
      <c r="D4" s="18">
        <v>1800</v>
      </c>
      <c r="E4" s="63" t="s">
        <v>97</v>
      </c>
      <c r="F4" s="64" t="s">
        <v>7</v>
      </c>
      <c r="G4" s="65"/>
    </row>
    <row r="5" spans="1:7" ht="15" x14ac:dyDescent="0.2">
      <c r="A5" s="57" t="s">
        <v>6</v>
      </c>
      <c r="B5" s="19" t="s">
        <v>149</v>
      </c>
      <c r="C5" s="20">
        <f>SUM(D14:D21)</f>
        <v>2008.5074999999997</v>
      </c>
      <c r="D5" s="18">
        <f>SUM(D60:D66)</f>
        <v>1767.64</v>
      </c>
      <c r="E5" s="63" t="s">
        <v>1</v>
      </c>
      <c r="F5" s="21" t="s">
        <v>96</v>
      </c>
      <c r="G5" s="145">
        <f>C3+C9+D9+D3</f>
        <v>899.3599999999999</v>
      </c>
    </row>
    <row r="6" spans="1:7" ht="15" x14ac:dyDescent="0.2">
      <c r="A6" s="57"/>
      <c r="B6" s="19"/>
      <c r="C6" s="23">
        <f>C4-C5</f>
        <v>91.492500000000291</v>
      </c>
      <c r="D6" s="18">
        <f>D4-D5</f>
        <v>32.3599999999999</v>
      </c>
      <c r="E6" s="63" t="s">
        <v>0</v>
      </c>
      <c r="F6" s="21" t="s">
        <v>98</v>
      </c>
      <c r="G6" s="22">
        <f>C4+C10+D4+D10</f>
        <v>13400</v>
      </c>
    </row>
    <row r="7" spans="1:7" ht="15" customHeight="1" x14ac:dyDescent="0.2">
      <c r="A7" s="57" t="s">
        <v>4</v>
      </c>
      <c r="B7" s="19" t="s">
        <v>167</v>
      </c>
      <c r="C7" s="58" t="s">
        <v>30</v>
      </c>
      <c r="D7" s="58" t="s">
        <v>32</v>
      </c>
      <c r="E7" s="66"/>
      <c r="F7" s="24" t="s">
        <v>5</v>
      </c>
      <c r="G7" s="22">
        <f>G5*B11</f>
        <v>13265.559999999998</v>
      </c>
    </row>
    <row r="8" spans="1:7" x14ac:dyDescent="0.2">
      <c r="A8" s="57"/>
      <c r="B8" s="19"/>
      <c r="C8" s="58"/>
      <c r="D8" s="58"/>
      <c r="E8" s="66"/>
      <c r="F8" s="25" t="s">
        <v>11</v>
      </c>
      <c r="G8" s="22">
        <f>(G7-G6)+F3</f>
        <v>-134.44000000000233</v>
      </c>
    </row>
    <row r="9" spans="1:7" ht="15.75" thickBot="1" x14ac:dyDescent="0.25">
      <c r="A9" s="57" t="s">
        <v>86</v>
      </c>
      <c r="B9" s="19" t="s">
        <v>176</v>
      </c>
      <c r="C9" s="26">
        <f>SUM(B22:B37)</f>
        <v>270.61</v>
      </c>
      <c r="D9" s="26">
        <f>SUM(B60:B66)</f>
        <v>119.84</v>
      </c>
      <c r="E9" s="63" t="s">
        <v>95</v>
      </c>
      <c r="F9" s="27" t="s">
        <v>3</v>
      </c>
      <c r="G9" s="28">
        <f>IFERROR(G8/B11, 0)</f>
        <v>-9.1145762711865981</v>
      </c>
    </row>
    <row r="10" spans="1:7" ht="15" x14ac:dyDescent="0.2">
      <c r="A10" s="57"/>
      <c r="B10" s="19"/>
      <c r="C10" s="29">
        <v>4000</v>
      </c>
      <c r="D10" s="18">
        <v>5500</v>
      </c>
      <c r="E10" s="63" t="s">
        <v>97</v>
      </c>
    </row>
    <row r="11" spans="1:7" ht="15" x14ac:dyDescent="0.2">
      <c r="A11" s="57" t="s">
        <v>2</v>
      </c>
      <c r="B11" s="30">
        <v>14.75</v>
      </c>
      <c r="C11" s="31">
        <f>SUM(D22:D37)</f>
        <v>3991.4974999999999</v>
      </c>
      <c r="D11" s="18">
        <f>SUM(D38:D59)</f>
        <v>5497.915</v>
      </c>
      <c r="E11" s="63" t="s">
        <v>1</v>
      </c>
    </row>
    <row r="12" spans="1:7" ht="15" x14ac:dyDescent="0.2">
      <c r="A12" s="57"/>
      <c r="B12" s="30"/>
      <c r="C12" s="18">
        <f>C10-C11</f>
        <v>8.5025000000000546</v>
      </c>
      <c r="D12" s="18">
        <f>D10-D11</f>
        <v>2.0850000000000364</v>
      </c>
      <c r="E12" s="63" t="s">
        <v>0</v>
      </c>
    </row>
    <row r="13" spans="1:7" ht="18.75" customHeight="1" thickBot="1" x14ac:dyDescent="0.25">
      <c r="A13" s="59" t="s">
        <v>17</v>
      </c>
      <c r="B13" s="60" t="s">
        <v>95</v>
      </c>
      <c r="C13" s="60" t="s">
        <v>87</v>
      </c>
      <c r="D13" s="60" t="s">
        <v>94</v>
      </c>
      <c r="E13" s="32"/>
    </row>
    <row r="14" spans="1:7" x14ac:dyDescent="0.2">
      <c r="A14" s="140" t="s">
        <v>33</v>
      </c>
      <c r="B14" s="33">
        <v>17.82</v>
      </c>
      <c r="C14" s="34">
        <v>0</v>
      </c>
      <c r="D14" s="35">
        <f t="shared" ref="D14:D66" si="0">B14*$B$11</f>
        <v>262.84500000000003</v>
      </c>
      <c r="E14" s="36"/>
    </row>
    <row r="15" spans="1:7" x14ac:dyDescent="0.2">
      <c r="A15" s="141" t="s">
        <v>34</v>
      </c>
      <c r="B15" s="37">
        <v>16.350000000000001</v>
      </c>
      <c r="C15" s="38">
        <v>0</v>
      </c>
      <c r="D15" s="39">
        <f t="shared" si="0"/>
        <v>241.16250000000002</v>
      </c>
      <c r="E15" s="36"/>
    </row>
    <row r="16" spans="1:7" x14ac:dyDescent="0.2">
      <c r="A16" s="141" t="s">
        <v>35</v>
      </c>
      <c r="B16" s="37">
        <v>18.41</v>
      </c>
      <c r="C16" s="38">
        <v>0</v>
      </c>
      <c r="D16" s="39">
        <f t="shared" si="0"/>
        <v>271.54750000000001</v>
      </c>
      <c r="E16" s="36"/>
    </row>
    <row r="17" spans="1:5" x14ac:dyDescent="0.2">
      <c r="A17" s="141" t="s">
        <v>36</v>
      </c>
      <c r="B17" s="37">
        <v>15.92</v>
      </c>
      <c r="C17" s="38">
        <v>0</v>
      </c>
      <c r="D17" s="39">
        <f t="shared" si="0"/>
        <v>234.82</v>
      </c>
      <c r="E17" s="36"/>
    </row>
    <row r="18" spans="1:5" x14ac:dyDescent="0.2">
      <c r="A18" s="141" t="s">
        <v>37</v>
      </c>
      <c r="B18" s="37">
        <v>17.29</v>
      </c>
      <c r="C18" s="38">
        <v>0</v>
      </c>
      <c r="D18" s="39">
        <f t="shared" si="0"/>
        <v>255.02749999999997</v>
      </c>
      <c r="E18" s="36"/>
    </row>
    <row r="19" spans="1:5" x14ac:dyDescent="0.2">
      <c r="A19" s="141" t="s">
        <v>38</v>
      </c>
      <c r="B19" s="37">
        <v>16.11</v>
      </c>
      <c r="C19" s="38">
        <v>0</v>
      </c>
      <c r="D19" s="39">
        <f t="shared" si="0"/>
        <v>237.6225</v>
      </c>
      <c r="E19" s="36"/>
    </row>
    <row r="20" spans="1:5" x14ac:dyDescent="0.2">
      <c r="A20" s="141" t="s">
        <v>39</v>
      </c>
      <c r="B20" s="37">
        <v>18.670000000000002</v>
      </c>
      <c r="C20" s="38">
        <v>0</v>
      </c>
      <c r="D20" s="39">
        <f t="shared" si="0"/>
        <v>275.38250000000005</v>
      </c>
      <c r="E20" s="36"/>
    </row>
    <row r="21" spans="1:5" x14ac:dyDescent="0.2">
      <c r="A21" s="141" t="s">
        <v>40</v>
      </c>
      <c r="B21" s="37">
        <v>15.6</v>
      </c>
      <c r="C21" s="38">
        <v>0</v>
      </c>
      <c r="D21" s="39">
        <f t="shared" si="0"/>
        <v>230.1</v>
      </c>
      <c r="E21" s="36"/>
    </row>
    <row r="22" spans="1:5" x14ac:dyDescent="0.2">
      <c r="A22" s="141" t="s">
        <v>41</v>
      </c>
      <c r="B22" s="37">
        <v>17.010000000000002</v>
      </c>
      <c r="C22" s="38">
        <v>0</v>
      </c>
      <c r="D22" s="39">
        <f t="shared" si="0"/>
        <v>250.89750000000004</v>
      </c>
      <c r="E22" s="36"/>
    </row>
    <row r="23" spans="1:5" x14ac:dyDescent="0.2">
      <c r="A23" s="141" t="s">
        <v>42</v>
      </c>
      <c r="B23" s="37">
        <v>16.440000000000001</v>
      </c>
      <c r="C23" s="38">
        <v>0</v>
      </c>
      <c r="D23" s="39">
        <f t="shared" si="0"/>
        <v>242.49</v>
      </c>
      <c r="E23" s="36"/>
    </row>
    <row r="24" spans="1:5" x14ac:dyDescent="0.2">
      <c r="A24" s="141" t="s">
        <v>43</v>
      </c>
      <c r="B24" s="37">
        <v>18.22</v>
      </c>
      <c r="C24" s="38">
        <v>0</v>
      </c>
      <c r="D24" s="39">
        <f t="shared" si="0"/>
        <v>268.745</v>
      </c>
      <c r="E24" s="36"/>
    </row>
    <row r="25" spans="1:5" x14ac:dyDescent="0.2">
      <c r="A25" s="141" t="s">
        <v>44</v>
      </c>
      <c r="B25" s="37">
        <v>15.73</v>
      </c>
      <c r="C25" s="38">
        <v>0</v>
      </c>
      <c r="D25" s="39">
        <f t="shared" si="0"/>
        <v>232.01750000000001</v>
      </c>
      <c r="E25" s="36"/>
    </row>
    <row r="26" spans="1:5" x14ac:dyDescent="0.2">
      <c r="A26" s="141" t="s">
        <v>45</v>
      </c>
      <c r="B26" s="37">
        <v>17.54</v>
      </c>
      <c r="C26" s="38">
        <v>0</v>
      </c>
      <c r="D26" s="39">
        <f t="shared" si="0"/>
        <v>258.71499999999997</v>
      </c>
      <c r="E26" s="36"/>
    </row>
    <row r="27" spans="1:5" x14ac:dyDescent="0.2">
      <c r="A27" s="141" t="s">
        <v>46</v>
      </c>
      <c r="B27" s="37">
        <v>16.03</v>
      </c>
      <c r="C27" s="38">
        <v>0</v>
      </c>
      <c r="D27" s="39">
        <f t="shared" si="0"/>
        <v>236.44250000000002</v>
      </c>
      <c r="E27" s="36"/>
    </row>
    <row r="28" spans="1:5" x14ac:dyDescent="0.2">
      <c r="A28" s="141" t="s">
        <v>47</v>
      </c>
      <c r="B28" s="37">
        <v>18.579999999999998</v>
      </c>
      <c r="C28" s="38">
        <v>0</v>
      </c>
      <c r="D28" s="39">
        <f t="shared" si="0"/>
        <v>274.05499999999995</v>
      </c>
      <c r="E28" s="36"/>
    </row>
    <row r="29" spans="1:5" x14ac:dyDescent="0.2">
      <c r="A29" s="141" t="s">
        <v>48</v>
      </c>
      <c r="B29" s="37">
        <v>15.67</v>
      </c>
      <c r="C29" s="38">
        <v>0</v>
      </c>
      <c r="D29" s="39">
        <f t="shared" si="0"/>
        <v>231.13249999999999</v>
      </c>
      <c r="E29" s="36"/>
    </row>
    <row r="30" spans="1:5" x14ac:dyDescent="0.2">
      <c r="A30" s="141" t="s">
        <v>49</v>
      </c>
      <c r="B30" s="37">
        <v>17.079999999999998</v>
      </c>
      <c r="C30" s="38">
        <v>0</v>
      </c>
      <c r="D30" s="39">
        <f t="shared" si="0"/>
        <v>251.92999999999998</v>
      </c>
      <c r="E30" s="36"/>
    </row>
    <row r="31" spans="1:5" x14ac:dyDescent="0.2">
      <c r="A31" s="141" t="s">
        <v>50</v>
      </c>
      <c r="B31" s="37">
        <v>16.39</v>
      </c>
      <c r="C31" s="38">
        <v>0</v>
      </c>
      <c r="D31" s="39">
        <f t="shared" si="0"/>
        <v>241.7525</v>
      </c>
      <c r="E31" s="36"/>
    </row>
    <row r="32" spans="1:5" x14ac:dyDescent="0.2">
      <c r="A32" s="141" t="s">
        <v>51</v>
      </c>
      <c r="B32" s="37">
        <v>18.27</v>
      </c>
      <c r="C32" s="38">
        <v>0</v>
      </c>
      <c r="D32" s="39">
        <f t="shared" si="0"/>
        <v>269.48250000000002</v>
      </c>
      <c r="E32" s="36"/>
    </row>
    <row r="33" spans="1:5" x14ac:dyDescent="0.2">
      <c r="A33" s="141" t="s">
        <v>52</v>
      </c>
      <c r="B33" s="37">
        <v>15.78</v>
      </c>
      <c r="C33" s="38">
        <v>0</v>
      </c>
      <c r="D33" s="39">
        <f t="shared" si="0"/>
        <v>232.755</v>
      </c>
      <c r="E33" s="36"/>
    </row>
    <row r="34" spans="1:5" x14ac:dyDescent="0.2">
      <c r="A34" s="141" t="s">
        <v>53</v>
      </c>
      <c r="B34" s="37">
        <v>17.489999999999998</v>
      </c>
      <c r="C34" s="38">
        <v>0</v>
      </c>
      <c r="D34" s="39">
        <f t="shared" si="0"/>
        <v>257.97749999999996</v>
      </c>
      <c r="E34" s="36"/>
    </row>
    <row r="35" spans="1:5" x14ac:dyDescent="0.2">
      <c r="A35" s="141" t="s">
        <v>54</v>
      </c>
      <c r="B35" s="37">
        <v>16.079999999999998</v>
      </c>
      <c r="C35" s="38">
        <v>0</v>
      </c>
      <c r="D35" s="39">
        <f t="shared" si="0"/>
        <v>237.17999999999998</v>
      </c>
      <c r="E35" s="36"/>
    </row>
    <row r="36" spans="1:5" x14ac:dyDescent="0.2">
      <c r="A36" s="141" t="s">
        <v>55</v>
      </c>
      <c r="B36" s="37">
        <v>18.61</v>
      </c>
      <c r="C36" s="38">
        <v>0</v>
      </c>
      <c r="D36" s="39">
        <f t="shared" si="0"/>
        <v>274.4975</v>
      </c>
      <c r="E36" s="36"/>
    </row>
    <row r="37" spans="1:5" x14ac:dyDescent="0.2">
      <c r="A37" s="141" t="s">
        <v>56</v>
      </c>
      <c r="B37" s="37">
        <v>15.69</v>
      </c>
      <c r="C37" s="38">
        <v>0</v>
      </c>
      <c r="D37" s="39">
        <f t="shared" si="0"/>
        <v>231.42749999999998</v>
      </c>
      <c r="E37" s="36"/>
    </row>
    <row r="38" spans="1:5" x14ac:dyDescent="0.2">
      <c r="A38" s="141" t="s">
        <v>57</v>
      </c>
      <c r="B38" s="37">
        <v>17.11</v>
      </c>
      <c r="C38" s="38">
        <v>0</v>
      </c>
      <c r="D38" s="39">
        <f t="shared" si="0"/>
        <v>252.3725</v>
      </c>
      <c r="E38" s="36"/>
    </row>
    <row r="39" spans="1:5" x14ac:dyDescent="0.2">
      <c r="A39" s="141" t="s">
        <v>58</v>
      </c>
      <c r="B39" s="37">
        <v>16.41</v>
      </c>
      <c r="C39" s="38">
        <v>0</v>
      </c>
      <c r="D39" s="39">
        <f t="shared" si="0"/>
        <v>242.04750000000001</v>
      </c>
      <c r="E39" s="36"/>
    </row>
    <row r="40" spans="1:5" x14ac:dyDescent="0.2">
      <c r="A40" s="141" t="s">
        <v>59</v>
      </c>
      <c r="B40" s="37">
        <v>18.29</v>
      </c>
      <c r="C40" s="38">
        <v>0</v>
      </c>
      <c r="D40" s="39">
        <f t="shared" si="0"/>
        <v>269.77749999999997</v>
      </c>
      <c r="E40" s="36"/>
    </row>
    <row r="41" spans="1:5" x14ac:dyDescent="0.2">
      <c r="A41" s="141" t="s">
        <v>60</v>
      </c>
      <c r="B41" s="37">
        <v>15.8</v>
      </c>
      <c r="C41" s="38">
        <v>0</v>
      </c>
      <c r="D41" s="39">
        <f t="shared" si="0"/>
        <v>233.05</v>
      </c>
      <c r="E41" s="36"/>
    </row>
    <row r="42" spans="1:5" x14ac:dyDescent="0.2">
      <c r="A42" s="141" t="s">
        <v>61</v>
      </c>
      <c r="B42" s="37">
        <v>17.510000000000002</v>
      </c>
      <c r="C42" s="38">
        <v>0</v>
      </c>
      <c r="D42" s="39">
        <f t="shared" si="0"/>
        <v>258.27250000000004</v>
      </c>
      <c r="E42" s="36"/>
    </row>
    <row r="43" spans="1:5" x14ac:dyDescent="0.2">
      <c r="A43" s="141" t="s">
        <v>62</v>
      </c>
      <c r="B43" s="37">
        <v>16.100000000000001</v>
      </c>
      <c r="C43" s="38">
        <v>0</v>
      </c>
      <c r="D43" s="39">
        <f t="shared" si="0"/>
        <v>237.47500000000002</v>
      </c>
      <c r="E43" s="36"/>
    </row>
    <row r="44" spans="1:5" x14ac:dyDescent="0.2">
      <c r="A44" s="141" t="s">
        <v>63</v>
      </c>
      <c r="B44" s="37">
        <v>18.63</v>
      </c>
      <c r="C44" s="38">
        <v>0</v>
      </c>
      <c r="D44" s="39">
        <f t="shared" si="0"/>
        <v>274.79249999999996</v>
      </c>
      <c r="E44" s="36"/>
    </row>
    <row r="45" spans="1:5" x14ac:dyDescent="0.2">
      <c r="A45" s="141" t="s">
        <v>64</v>
      </c>
      <c r="B45" s="37">
        <v>15.71</v>
      </c>
      <c r="C45" s="38">
        <v>0</v>
      </c>
      <c r="D45" s="39">
        <f t="shared" si="0"/>
        <v>231.72250000000003</v>
      </c>
      <c r="E45" s="36"/>
    </row>
    <row r="46" spans="1:5" x14ac:dyDescent="0.2">
      <c r="A46" s="141" t="s">
        <v>65</v>
      </c>
      <c r="B46" s="37">
        <v>17.13</v>
      </c>
      <c r="C46" s="38">
        <v>0</v>
      </c>
      <c r="D46" s="39">
        <f t="shared" si="0"/>
        <v>252.66749999999999</v>
      </c>
      <c r="E46" s="36"/>
    </row>
    <row r="47" spans="1:5" x14ac:dyDescent="0.2">
      <c r="A47" s="141" t="s">
        <v>66</v>
      </c>
      <c r="B47" s="37">
        <v>16.43</v>
      </c>
      <c r="C47" s="38">
        <v>0</v>
      </c>
      <c r="D47" s="39">
        <f t="shared" si="0"/>
        <v>242.3425</v>
      </c>
      <c r="E47" s="36"/>
    </row>
    <row r="48" spans="1:5" x14ac:dyDescent="0.2">
      <c r="A48" s="141" t="s">
        <v>67</v>
      </c>
      <c r="B48" s="37">
        <v>18.309999999999999</v>
      </c>
      <c r="C48" s="38">
        <v>0</v>
      </c>
      <c r="D48" s="39">
        <f t="shared" si="0"/>
        <v>270.07249999999999</v>
      </c>
      <c r="E48" s="36"/>
    </row>
    <row r="49" spans="1:5" x14ac:dyDescent="0.2">
      <c r="A49" s="141" t="s">
        <v>68</v>
      </c>
      <c r="B49" s="37">
        <v>15.82</v>
      </c>
      <c r="C49" s="38">
        <v>0</v>
      </c>
      <c r="D49" s="39">
        <f t="shared" si="0"/>
        <v>233.345</v>
      </c>
      <c r="E49" s="36"/>
    </row>
    <row r="50" spans="1:5" x14ac:dyDescent="0.2">
      <c r="A50" s="141" t="s">
        <v>69</v>
      </c>
      <c r="B50" s="37">
        <v>17.53</v>
      </c>
      <c r="C50" s="38">
        <v>0</v>
      </c>
      <c r="D50" s="39">
        <f t="shared" si="0"/>
        <v>258.5675</v>
      </c>
      <c r="E50" s="36"/>
    </row>
    <row r="51" spans="1:5" x14ac:dyDescent="0.2">
      <c r="A51" s="141" t="s">
        <v>70</v>
      </c>
      <c r="B51" s="37">
        <v>16.12</v>
      </c>
      <c r="C51" s="38">
        <v>0</v>
      </c>
      <c r="D51" s="39">
        <f t="shared" si="0"/>
        <v>237.77</v>
      </c>
      <c r="E51" s="36"/>
    </row>
    <row r="52" spans="1:5" x14ac:dyDescent="0.2">
      <c r="A52" s="141" t="s">
        <v>71</v>
      </c>
      <c r="B52" s="37">
        <v>18.649999999999999</v>
      </c>
      <c r="C52" s="38">
        <v>0</v>
      </c>
      <c r="D52" s="39">
        <f t="shared" si="0"/>
        <v>275.08749999999998</v>
      </c>
      <c r="E52" s="36"/>
    </row>
    <row r="53" spans="1:5" x14ac:dyDescent="0.2">
      <c r="A53" s="141" t="s">
        <v>72</v>
      </c>
      <c r="B53" s="37">
        <v>15.73</v>
      </c>
      <c r="C53" s="38">
        <v>0</v>
      </c>
      <c r="D53" s="39">
        <f t="shared" si="0"/>
        <v>232.01750000000001</v>
      </c>
      <c r="E53" s="36"/>
    </row>
    <row r="54" spans="1:5" x14ac:dyDescent="0.2">
      <c r="A54" s="141" t="s">
        <v>73</v>
      </c>
      <c r="B54" s="37">
        <v>17.149999999999999</v>
      </c>
      <c r="C54" s="38">
        <v>0</v>
      </c>
      <c r="D54" s="39">
        <f t="shared" si="0"/>
        <v>252.96249999999998</v>
      </c>
      <c r="E54" s="36"/>
    </row>
    <row r="55" spans="1:5" x14ac:dyDescent="0.2">
      <c r="A55" s="141" t="s">
        <v>74</v>
      </c>
      <c r="B55" s="37">
        <v>16.45</v>
      </c>
      <c r="C55" s="38">
        <v>0</v>
      </c>
      <c r="D55" s="39">
        <f t="shared" si="0"/>
        <v>242.63749999999999</v>
      </c>
      <c r="E55" s="36"/>
    </row>
    <row r="56" spans="1:5" x14ac:dyDescent="0.2">
      <c r="A56" s="141" t="s">
        <v>75</v>
      </c>
      <c r="B56" s="37">
        <v>18.329999999999998</v>
      </c>
      <c r="C56" s="38">
        <v>0</v>
      </c>
      <c r="D56" s="39">
        <f t="shared" si="0"/>
        <v>270.36749999999995</v>
      </c>
      <c r="E56" s="36"/>
    </row>
    <row r="57" spans="1:5" x14ac:dyDescent="0.2">
      <c r="A57" s="141" t="s">
        <v>76</v>
      </c>
      <c r="B57" s="37">
        <v>15.84</v>
      </c>
      <c r="C57" s="38">
        <v>0</v>
      </c>
      <c r="D57" s="39">
        <f t="shared" si="0"/>
        <v>233.64</v>
      </c>
      <c r="E57" s="36"/>
    </row>
    <row r="58" spans="1:5" x14ac:dyDescent="0.2">
      <c r="A58" s="141" t="s">
        <v>77</v>
      </c>
      <c r="B58" s="37">
        <v>17.55</v>
      </c>
      <c r="C58" s="38">
        <v>0</v>
      </c>
      <c r="D58" s="39">
        <f t="shared" si="0"/>
        <v>258.86250000000001</v>
      </c>
      <c r="E58" s="36"/>
    </row>
    <row r="59" spans="1:5" x14ac:dyDescent="0.2">
      <c r="A59" s="141" t="s">
        <v>78</v>
      </c>
      <c r="B59" s="37">
        <v>16.14</v>
      </c>
      <c r="C59" s="38">
        <v>0</v>
      </c>
      <c r="D59" s="39">
        <f t="shared" si="0"/>
        <v>238.065</v>
      </c>
      <c r="E59" s="36"/>
    </row>
    <row r="60" spans="1:5" x14ac:dyDescent="0.2">
      <c r="A60" s="141" t="s">
        <v>79</v>
      </c>
      <c r="B60" s="37">
        <v>18.670000000000002</v>
      </c>
      <c r="C60" s="38">
        <v>0</v>
      </c>
      <c r="D60" s="39">
        <f t="shared" si="0"/>
        <v>275.38250000000005</v>
      </c>
      <c r="E60" s="36"/>
    </row>
    <row r="61" spans="1:5" x14ac:dyDescent="0.2">
      <c r="A61" s="141" t="s">
        <v>80</v>
      </c>
      <c r="B61" s="37">
        <v>15.75</v>
      </c>
      <c r="C61" s="38">
        <v>0</v>
      </c>
      <c r="D61" s="39">
        <f t="shared" si="0"/>
        <v>232.3125</v>
      </c>
      <c r="E61" s="36"/>
    </row>
    <row r="62" spans="1:5" x14ac:dyDescent="0.2">
      <c r="A62" s="141" t="s">
        <v>81</v>
      </c>
      <c r="B62" s="37">
        <v>17.170000000000002</v>
      </c>
      <c r="C62" s="38">
        <v>0</v>
      </c>
      <c r="D62" s="39">
        <f t="shared" si="0"/>
        <v>253.25750000000002</v>
      </c>
      <c r="E62" s="36"/>
    </row>
    <row r="63" spans="1:5" x14ac:dyDescent="0.2">
      <c r="A63" s="141" t="s">
        <v>82</v>
      </c>
      <c r="B63" s="37">
        <v>16.47</v>
      </c>
      <c r="C63" s="38">
        <v>0</v>
      </c>
      <c r="D63" s="39">
        <f t="shared" si="0"/>
        <v>242.93249999999998</v>
      </c>
      <c r="E63" s="36"/>
    </row>
    <row r="64" spans="1:5" x14ac:dyDescent="0.2">
      <c r="A64" s="142" t="s">
        <v>83</v>
      </c>
      <c r="B64" s="37">
        <v>18.350000000000001</v>
      </c>
      <c r="C64" s="38">
        <v>0</v>
      </c>
      <c r="D64" s="39">
        <f t="shared" si="0"/>
        <v>270.66250000000002</v>
      </c>
      <c r="E64" s="36"/>
    </row>
    <row r="65" spans="1:5" x14ac:dyDescent="0.2">
      <c r="A65" s="142" t="s">
        <v>84</v>
      </c>
      <c r="B65" s="37">
        <v>15.86</v>
      </c>
      <c r="C65" s="38">
        <v>0</v>
      </c>
      <c r="D65" s="39">
        <f t="shared" si="0"/>
        <v>233.935</v>
      </c>
      <c r="E65" s="36"/>
    </row>
    <row r="66" spans="1:5" ht="15" thickBot="1" x14ac:dyDescent="0.25">
      <c r="A66" s="143" t="s">
        <v>85</v>
      </c>
      <c r="B66" s="40">
        <v>17.57</v>
      </c>
      <c r="C66" s="41">
        <v>0</v>
      </c>
      <c r="D66" s="42">
        <f t="shared" si="0"/>
        <v>259.15750000000003</v>
      </c>
      <c r="E66" s="43"/>
    </row>
  </sheetData>
  <mergeCells count="19">
    <mergeCell ref="E7:E8"/>
    <mergeCell ref="A9:A10"/>
    <mergeCell ref="B9:B10"/>
    <mergeCell ref="A11:A12"/>
    <mergeCell ref="B11:B12"/>
    <mergeCell ref="E13:E66"/>
    <mergeCell ref="A5:A6"/>
    <mergeCell ref="B5:B6"/>
    <mergeCell ref="A7:A8"/>
    <mergeCell ref="B7:B8"/>
    <mergeCell ref="C7:C8"/>
    <mergeCell ref="D7:D8"/>
    <mergeCell ref="A1:E1"/>
    <mergeCell ref="A2:B2"/>
    <mergeCell ref="F2:G2"/>
    <mergeCell ref="A3:A4"/>
    <mergeCell ref="B3:B4"/>
    <mergeCell ref="F3:G3"/>
    <mergeCell ref="F4:G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D3AF-2644-4BA7-987D-BD6BAA780F3E}">
  <sheetPr codeName="Sheet11">
    <tabColor rgb="FF00B0F0"/>
  </sheetPr>
  <dimension ref="A1:G66"/>
  <sheetViews>
    <sheetView workbookViewId="0">
      <selection activeCell="C10" sqref="C10"/>
    </sheetView>
  </sheetViews>
  <sheetFormatPr defaultRowHeight="14.25" x14ac:dyDescent="0.2"/>
  <cols>
    <col min="1" max="1" width="16.42578125" style="5" bestFit="1" customWidth="1"/>
    <col min="2" max="2" width="28.85546875" style="5" customWidth="1"/>
    <col min="3" max="3" width="20.42578125" style="5" customWidth="1"/>
    <col min="4" max="4" width="21.28515625" style="5" customWidth="1"/>
    <col min="5" max="5" width="14.28515625" style="5" bestFit="1" customWidth="1"/>
    <col min="6" max="6" width="19" style="5" bestFit="1" customWidth="1"/>
    <col min="7" max="7" width="18.5703125" style="5" customWidth="1"/>
    <col min="8" max="16384" width="9.140625" style="5"/>
  </cols>
  <sheetData>
    <row r="1" spans="1:7" ht="18.75" thickBot="1" x14ac:dyDescent="0.3">
      <c r="A1" s="52" t="s">
        <v>28</v>
      </c>
      <c r="B1" s="53"/>
      <c r="C1" s="53"/>
      <c r="D1" s="53"/>
      <c r="E1" s="54"/>
      <c r="F1" s="67"/>
      <c r="G1" s="67"/>
    </row>
    <row r="2" spans="1:7" ht="15" x14ac:dyDescent="0.2">
      <c r="A2" s="68" t="s">
        <v>9</v>
      </c>
      <c r="B2" s="69"/>
      <c r="C2" s="61" t="s">
        <v>29</v>
      </c>
      <c r="D2" s="61" t="s">
        <v>31</v>
      </c>
      <c r="E2" s="62"/>
      <c r="F2" s="55" t="s">
        <v>87</v>
      </c>
      <c r="G2" s="56"/>
    </row>
    <row r="3" spans="1:7" ht="15" x14ac:dyDescent="0.2">
      <c r="A3" s="57" t="s">
        <v>8</v>
      </c>
      <c r="B3" s="15" t="s">
        <v>141</v>
      </c>
      <c r="C3" s="16">
        <f>SUM(B14:B21)</f>
        <v>88.429999999999993</v>
      </c>
      <c r="D3" s="16">
        <f>SUM(B38:B59)</f>
        <v>243.14000000000004</v>
      </c>
      <c r="E3" s="63" t="s">
        <v>95</v>
      </c>
      <c r="F3" s="138">
        <v>0</v>
      </c>
      <c r="G3" s="139"/>
    </row>
    <row r="4" spans="1:7" ht="15" x14ac:dyDescent="0.2">
      <c r="A4" s="57"/>
      <c r="B4" s="15"/>
      <c r="C4" s="17">
        <v>1200</v>
      </c>
      <c r="D4" s="18">
        <v>980</v>
      </c>
      <c r="E4" s="63" t="s">
        <v>97</v>
      </c>
      <c r="F4" s="64" t="s">
        <v>7</v>
      </c>
      <c r="G4" s="65"/>
    </row>
    <row r="5" spans="1:7" ht="15" x14ac:dyDescent="0.2">
      <c r="A5" s="57" t="s">
        <v>6</v>
      </c>
      <c r="B5" s="19" t="s">
        <v>150</v>
      </c>
      <c r="C5" s="20">
        <f>SUM(D14:D21)</f>
        <v>1105.375</v>
      </c>
      <c r="D5" s="18">
        <f>SUM(D60:D66)</f>
        <v>972.875</v>
      </c>
      <c r="E5" s="63" t="s">
        <v>1</v>
      </c>
      <c r="F5" s="21" t="s">
        <v>96</v>
      </c>
      <c r="G5" s="145">
        <f>C3+C9+D9+D3</f>
        <v>585.49</v>
      </c>
    </row>
    <row r="6" spans="1:7" ht="15" x14ac:dyDescent="0.2">
      <c r="A6" s="57"/>
      <c r="B6" s="19"/>
      <c r="C6" s="23">
        <f>C4-C5</f>
        <v>94.625</v>
      </c>
      <c r="D6" s="18">
        <f>D4-D5</f>
        <v>7.125</v>
      </c>
      <c r="E6" s="63" t="s">
        <v>0</v>
      </c>
      <c r="F6" s="21" t="s">
        <v>98</v>
      </c>
      <c r="G6" s="22">
        <f>C4+C10+D4+D10</f>
        <v>7480</v>
      </c>
    </row>
    <row r="7" spans="1:7" ht="15" customHeight="1" x14ac:dyDescent="0.2">
      <c r="A7" s="57" t="s">
        <v>4</v>
      </c>
      <c r="B7" s="19" t="s">
        <v>168</v>
      </c>
      <c r="C7" s="58" t="s">
        <v>30</v>
      </c>
      <c r="D7" s="58" t="s">
        <v>32</v>
      </c>
      <c r="E7" s="66"/>
      <c r="F7" s="24" t="s">
        <v>5</v>
      </c>
      <c r="G7" s="22">
        <f>G5*B11</f>
        <v>7318.625</v>
      </c>
    </row>
    <row r="8" spans="1:7" x14ac:dyDescent="0.2">
      <c r="A8" s="57"/>
      <c r="B8" s="19"/>
      <c r="C8" s="58"/>
      <c r="D8" s="58"/>
      <c r="E8" s="66"/>
      <c r="F8" s="25" t="s">
        <v>11</v>
      </c>
      <c r="G8" s="22">
        <f>(G7-G6)+F3</f>
        <v>-161.375</v>
      </c>
    </row>
    <row r="9" spans="1:7" ht="15.75" thickBot="1" x14ac:dyDescent="0.25">
      <c r="A9" s="57" t="s">
        <v>86</v>
      </c>
      <c r="B9" s="19" t="s">
        <v>177</v>
      </c>
      <c r="C9" s="26">
        <f>SUM(B22:B37)</f>
        <v>176.08999999999997</v>
      </c>
      <c r="D9" s="26">
        <f>SUM(B60:B66)</f>
        <v>77.829999999999984</v>
      </c>
      <c r="E9" s="63" t="s">
        <v>95</v>
      </c>
      <c r="F9" s="27" t="s">
        <v>3</v>
      </c>
      <c r="G9" s="28">
        <f>IFERROR(G8/B11, 0)</f>
        <v>-12.91</v>
      </c>
    </row>
    <row r="10" spans="1:7" ht="15" x14ac:dyDescent="0.2">
      <c r="A10" s="57"/>
      <c r="B10" s="19"/>
      <c r="C10" s="29">
        <v>2250</v>
      </c>
      <c r="D10" s="18">
        <v>3050</v>
      </c>
      <c r="E10" s="63" t="s">
        <v>97</v>
      </c>
    </row>
    <row r="11" spans="1:7" ht="15" x14ac:dyDescent="0.2">
      <c r="A11" s="57" t="s">
        <v>2</v>
      </c>
      <c r="B11" s="30">
        <v>12.5</v>
      </c>
      <c r="C11" s="31">
        <f>SUM(D22:D37)</f>
        <v>2201.125</v>
      </c>
      <c r="D11" s="18">
        <f>SUM(D38:D59)</f>
        <v>3039.25</v>
      </c>
      <c r="E11" s="63" t="s">
        <v>1</v>
      </c>
    </row>
    <row r="12" spans="1:7" ht="15" x14ac:dyDescent="0.2">
      <c r="A12" s="57"/>
      <c r="B12" s="30"/>
      <c r="C12" s="18">
        <f>C10-C11</f>
        <v>48.875</v>
      </c>
      <c r="D12" s="18">
        <f>D10-D11</f>
        <v>10.75</v>
      </c>
      <c r="E12" s="63" t="s">
        <v>0</v>
      </c>
    </row>
    <row r="13" spans="1:7" ht="18.75" customHeight="1" thickBot="1" x14ac:dyDescent="0.25">
      <c r="A13" s="59" t="s">
        <v>17</v>
      </c>
      <c r="B13" s="60" t="s">
        <v>95</v>
      </c>
      <c r="C13" s="60" t="s">
        <v>87</v>
      </c>
      <c r="D13" s="60" t="s">
        <v>94</v>
      </c>
      <c r="E13" s="32"/>
    </row>
    <row r="14" spans="1:7" x14ac:dyDescent="0.2">
      <c r="A14" s="140" t="s">
        <v>33</v>
      </c>
      <c r="B14" s="33">
        <v>11.22</v>
      </c>
      <c r="C14" s="34">
        <v>0</v>
      </c>
      <c r="D14" s="35">
        <f t="shared" ref="D14:D66" si="0">B14*$B$11</f>
        <v>140.25</v>
      </c>
      <c r="E14" s="36"/>
    </row>
    <row r="15" spans="1:7" x14ac:dyDescent="0.2">
      <c r="A15" s="141" t="s">
        <v>34</v>
      </c>
      <c r="B15" s="37">
        <v>10.64</v>
      </c>
      <c r="C15" s="38">
        <v>0</v>
      </c>
      <c r="D15" s="39">
        <f t="shared" si="0"/>
        <v>133</v>
      </c>
      <c r="E15" s="36"/>
    </row>
    <row r="16" spans="1:7" x14ac:dyDescent="0.2">
      <c r="A16" s="141" t="s">
        <v>35</v>
      </c>
      <c r="B16" s="37">
        <v>12.03</v>
      </c>
      <c r="C16" s="38">
        <v>0</v>
      </c>
      <c r="D16" s="39">
        <f t="shared" si="0"/>
        <v>150.375</v>
      </c>
      <c r="E16" s="36"/>
    </row>
    <row r="17" spans="1:5" x14ac:dyDescent="0.2">
      <c r="A17" s="141" t="s">
        <v>36</v>
      </c>
      <c r="B17" s="37">
        <v>9.75</v>
      </c>
      <c r="C17" s="38">
        <v>0</v>
      </c>
      <c r="D17" s="39">
        <f t="shared" si="0"/>
        <v>121.875</v>
      </c>
      <c r="E17" s="36"/>
    </row>
    <row r="18" spans="1:5" x14ac:dyDescent="0.2">
      <c r="A18" s="141" t="s">
        <v>37</v>
      </c>
      <c r="B18" s="37">
        <v>11.58</v>
      </c>
      <c r="C18" s="38">
        <v>0</v>
      </c>
      <c r="D18" s="39">
        <f t="shared" si="0"/>
        <v>144.75</v>
      </c>
      <c r="E18" s="36"/>
    </row>
    <row r="19" spans="1:5" x14ac:dyDescent="0.2">
      <c r="A19" s="141" t="s">
        <v>38</v>
      </c>
      <c r="B19" s="37">
        <v>10.92</v>
      </c>
      <c r="C19" s="38">
        <v>0</v>
      </c>
      <c r="D19" s="39">
        <f t="shared" si="0"/>
        <v>136.5</v>
      </c>
      <c r="E19" s="36"/>
    </row>
    <row r="20" spans="1:5" x14ac:dyDescent="0.2">
      <c r="A20" s="141" t="s">
        <v>39</v>
      </c>
      <c r="B20" s="37">
        <v>12.41</v>
      </c>
      <c r="C20" s="38">
        <v>0</v>
      </c>
      <c r="D20" s="39">
        <f t="shared" si="0"/>
        <v>155.125</v>
      </c>
      <c r="E20" s="36"/>
    </row>
    <row r="21" spans="1:5" x14ac:dyDescent="0.2">
      <c r="A21" s="141" t="s">
        <v>40</v>
      </c>
      <c r="B21" s="37">
        <v>9.8800000000000008</v>
      </c>
      <c r="C21" s="38">
        <v>0</v>
      </c>
      <c r="D21" s="39">
        <f t="shared" si="0"/>
        <v>123.50000000000001</v>
      </c>
      <c r="E21" s="36"/>
    </row>
    <row r="22" spans="1:5" x14ac:dyDescent="0.2">
      <c r="A22" s="141" t="s">
        <v>41</v>
      </c>
      <c r="B22" s="37">
        <v>11.11</v>
      </c>
      <c r="C22" s="38">
        <v>0</v>
      </c>
      <c r="D22" s="39">
        <f t="shared" si="0"/>
        <v>138.875</v>
      </c>
      <c r="E22" s="36"/>
    </row>
    <row r="23" spans="1:5" x14ac:dyDescent="0.2">
      <c r="A23" s="141" t="s">
        <v>42</v>
      </c>
      <c r="B23" s="37">
        <v>10.55</v>
      </c>
      <c r="C23" s="38">
        <v>0</v>
      </c>
      <c r="D23" s="39">
        <f t="shared" si="0"/>
        <v>131.875</v>
      </c>
      <c r="E23" s="36"/>
    </row>
    <row r="24" spans="1:5" x14ac:dyDescent="0.2">
      <c r="A24" s="141" t="s">
        <v>43</v>
      </c>
      <c r="B24" s="37">
        <v>12.18</v>
      </c>
      <c r="C24" s="38">
        <v>0</v>
      </c>
      <c r="D24" s="39">
        <f t="shared" si="0"/>
        <v>152.25</v>
      </c>
      <c r="E24" s="36"/>
    </row>
    <row r="25" spans="1:5" x14ac:dyDescent="0.2">
      <c r="A25" s="141" t="s">
        <v>44</v>
      </c>
      <c r="B25" s="37">
        <v>9.66</v>
      </c>
      <c r="C25" s="38">
        <v>0</v>
      </c>
      <c r="D25" s="39">
        <f t="shared" si="0"/>
        <v>120.75</v>
      </c>
      <c r="E25" s="36"/>
    </row>
    <row r="26" spans="1:5" x14ac:dyDescent="0.2">
      <c r="A26" s="141" t="s">
        <v>45</v>
      </c>
      <c r="B26" s="37">
        <v>11.46</v>
      </c>
      <c r="C26" s="38">
        <v>0</v>
      </c>
      <c r="D26" s="39">
        <f t="shared" si="0"/>
        <v>143.25</v>
      </c>
      <c r="E26" s="36"/>
    </row>
    <row r="27" spans="1:5" x14ac:dyDescent="0.2">
      <c r="A27" s="141" t="s">
        <v>46</v>
      </c>
      <c r="B27" s="37">
        <v>10.83</v>
      </c>
      <c r="C27" s="38">
        <v>0</v>
      </c>
      <c r="D27" s="39">
        <f t="shared" si="0"/>
        <v>135.375</v>
      </c>
      <c r="E27" s="36"/>
    </row>
    <row r="28" spans="1:5" x14ac:dyDescent="0.2">
      <c r="A28" s="141" t="s">
        <v>47</v>
      </c>
      <c r="B28" s="37">
        <v>12.36</v>
      </c>
      <c r="C28" s="38">
        <v>0</v>
      </c>
      <c r="D28" s="39">
        <f t="shared" si="0"/>
        <v>154.5</v>
      </c>
      <c r="E28" s="36"/>
    </row>
    <row r="29" spans="1:5" x14ac:dyDescent="0.2">
      <c r="A29" s="141" t="s">
        <v>48</v>
      </c>
      <c r="B29" s="37">
        <v>9.7899999999999991</v>
      </c>
      <c r="C29" s="38">
        <v>0</v>
      </c>
      <c r="D29" s="39">
        <f t="shared" si="0"/>
        <v>122.37499999999999</v>
      </c>
      <c r="E29" s="36"/>
    </row>
    <row r="30" spans="1:5" x14ac:dyDescent="0.2">
      <c r="A30" s="141" t="s">
        <v>49</v>
      </c>
      <c r="B30" s="37">
        <v>11.07</v>
      </c>
      <c r="C30" s="38">
        <v>0</v>
      </c>
      <c r="D30" s="39">
        <f t="shared" si="0"/>
        <v>138.375</v>
      </c>
      <c r="E30" s="36"/>
    </row>
    <row r="31" spans="1:5" x14ac:dyDescent="0.2">
      <c r="A31" s="141" t="s">
        <v>50</v>
      </c>
      <c r="B31" s="37">
        <v>10.59</v>
      </c>
      <c r="C31" s="38">
        <v>0</v>
      </c>
      <c r="D31" s="39">
        <f t="shared" si="0"/>
        <v>132.375</v>
      </c>
      <c r="E31" s="36"/>
    </row>
    <row r="32" spans="1:5" x14ac:dyDescent="0.2">
      <c r="A32" s="141" t="s">
        <v>51</v>
      </c>
      <c r="B32" s="37">
        <v>12.22</v>
      </c>
      <c r="C32" s="38">
        <v>0</v>
      </c>
      <c r="D32" s="39">
        <f t="shared" si="0"/>
        <v>152.75</v>
      </c>
      <c r="E32" s="36"/>
    </row>
    <row r="33" spans="1:5" x14ac:dyDescent="0.2">
      <c r="A33" s="141" t="s">
        <v>52</v>
      </c>
      <c r="B33" s="37">
        <v>9.7100000000000009</v>
      </c>
      <c r="C33" s="38">
        <v>0</v>
      </c>
      <c r="D33" s="39">
        <f t="shared" si="0"/>
        <v>121.37500000000001</v>
      </c>
      <c r="E33" s="36"/>
    </row>
    <row r="34" spans="1:5" x14ac:dyDescent="0.2">
      <c r="A34" s="141" t="s">
        <v>53</v>
      </c>
      <c r="B34" s="37">
        <v>11.49</v>
      </c>
      <c r="C34" s="38">
        <v>0</v>
      </c>
      <c r="D34" s="39">
        <f t="shared" si="0"/>
        <v>143.625</v>
      </c>
      <c r="E34" s="36"/>
    </row>
    <row r="35" spans="1:5" x14ac:dyDescent="0.2">
      <c r="A35" s="141" t="s">
        <v>54</v>
      </c>
      <c r="B35" s="37">
        <v>10.86</v>
      </c>
      <c r="C35" s="38">
        <v>0</v>
      </c>
      <c r="D35" s="39">
        <f t="shared" si="0"/>
        <v>135.75</v>
      </c>
      <c r="E35" s="36"/>
    </row>
    <row r="36" spans="1:5" x14ac:dyDescent="0.2">
      <c r="A36" s="141" t="s">
        <v>55</v>
      </c>
      <c r="B36" s="37">
        <v>12.39</v>
      </c>
      <c r="C36" s="38">
        <v>0</v>
      </c>
      <c r="D36" s="39">
        <f t="shared" si="0"/>
        <v>154.875</v>
      </c>
      <c r="E36" s="36"/>
    </row>
    <row r="37" spans="1:5" x14ac:dyDescent="0.2">
      <c r="A37" s="141" t="s">
        <v>56</v>
      </c>
      <c r="B37" s="37">
        <v>9.82</v>
      </c>
      <c r="C37" s="38">
        <v>0</v>
      </c>
      <c r="D37" s="39">
        <f t="shared" si="0"/>
        <v>122.75</v>
      </c>
      <c r="E37" s="36"/>
    </row>
    <row r="38" spans="1:5" x14ac:dyDescent="0.2">
      <c r="A38" s="141" t="s">
        <v>57</v>
      </c>
      <c r="B38" s="37">
        <v>11.1</v>
      </c>
      <c r="C38" s="38">
        <v>0</v>
      </c>
      <c r="D38" s="39">
        <f t="shared" si="0"/>
        <v>138.75</v>
      </c>
      <c r="E38" s="36"/>
    </row>
    <row r="39" spans="1:5" x14ac:dyDescent="0.2">
      <c r="A39" s="141" t="s">
        <v>58</v>
      </c>
      <c r="B39" s="37">
        <v>10.62</v>
      </c>
      <c r="C39" s="38">
        <v>0</v>
      </c>
      <c r="D39" s="39">
        <f t="shared" si="0"/>
        <v>132.75</v>
      </c>
      <c r="E39" s="36"/>
    </row>
    <row r="40" spans="1:5" x14ac:dyDescent="0.2">
      <c r="A40" s="141" t="s">
        <v>59</v>
      </c>
      <c r="B40" s="37">
        <v>12.24</v>
      </c>
      <c r="C40" s="38">
        <v>0</v>
      </c>
      <c r="D40" s="39">
        <f t="shared" si="0"/>
        <v>153</v>
      </c>
      <c r="E40" s="36"/>
    </row>
    <row r="41" spans="1:5" x14ac:dyDescent="0.2">
      <c r="A41" s="141" t="s">
        <v>60</v>
      </c>
      <c r="B41" s="37">
        <v>9.73</v>
      </c>
      <c r="C41" s="38">
        <v>0</v>
      </c>
      <c r="D41" s="39">
        <f t="shared" si="0"/>
        <v>121.625</v>
      </c>
      <c r="E41" s="36"/>
    </row>
    <row r="42" spans="1:5" x14ac:dyDescent="0.2">
      <c r="A42" s="141" t="s">
        <v>61</v>
      </c>
      <c r="B42" s="37">
        <v>11.51</v>
      </c>
      <c r="C42" s="38">
        <v>0</v>
      </c>
      <c r="D42" s="39">
        <f t="shared" si="0"/>
        <v>143.875</v>
      </c>
      <c r="E42" s="36"/>
    </row>
    <row r="43" spans="1:5" x14ac:dyDescent="0.2">
      <c r="A43" s="141" t="s">
        <v>62</v>
      </c>
      <c r="B43" s="37">
        <v>10.88</v>
      </c>
      <c r="C43" s="38">
        <v>0</v>
      </c>
      <c r="D43" s="39">
        <f t="shared" si="0"/>
        <v>136</v>
      </c>
      <c r="E43" s="36"/>
    </row>
    <row r="44" spans="1:5" x14ac:dyDescent="0.2">
      <c r="A44" s="141" t="s">
        <v>63</v>
      </c>
      <c r="B44" s="37">
        <v>12.41</v>
      </c>
      <c r="C44" s="38">
        <v>0</v>
      </c>
      <c r="D44" s="39">
        <f t="shared" si="0"/>
        <v>155.125</v>
      </c>
      <c r="E44" s="36"/>
    </row>
    <row r="45" spans="1:5" x14ac:dyDescent="0.2">
      <c r="A45" s="141" t="s">
        <v>64</v>
      </c>
      <c r="B45" s="37">
        <v>9.84</v>
      </c>
      <c r="C45" s="38">
        <v>0</v>
      </c>
      <c r="D45" s="39">
        <f t="shared" si="0"/>
        <v>123</v>
      </c>
      <c r="E45" s="36"/>
    </row>
    <row r="46" spans="1:5" x14ac:dyDescent="0.2">
      <c r="A46" s="141" t="s">
        <v>65</v>
      </c>
      <c r="B46" s="37">
        <v>11.12</v>
      </c>
      <c r="C46" s="38">
        <v>0</v>
      </c>
      <c r="D46" s="39">
        <f t="shared" si="0"/>
        <v>139</v>
      </c>
      <c r="E46" s="36"/>
    </row>
    <row r="47" spans="1:5" x14ac:dyDescent="0.2">
      <c r="A47" s="141" t="s">
        <v>66</v>
      </c>
      <c r="B47" s="37">
        <v>10.64</v>
      </c>
      <c r="C47" s="38">
        <v>0</v>
      </c>
      <c r="D47" s="39">
        <f t="shared" si="0"/>
        <v>133</v>
      </c>
      <c r="E47" s="36"/>
    </row>
    <row r="48" spans="1:5" x14ac:dyDescent="0.2">
      <c r="A48" s="141" t="s">
        <v>67</v>
      </c>
      <c r="B48" s="37">
        <v>12.26</v>
      </c>
      <c r="C48" s="38">
        <v>0</v>
      </c>
      <c r="D48" s="39">
        <f t="shared" si="0"/>
        <v>153.25</v>
      </c>
      <c r="E48" s="36"/>
    </row>
    <row r="49" spans="1:5" x14ac:dyDescent="0.2">
      <c r="A49" s="141" t="s">
        <v>68</v>
      </c>
      <c r="B49" s="37">
        <v>9.75</v>
      </c>
      <c r="C49" s="38">
        <v>0</v>
      </c>
      <c r="D49" s="39">
        <f t="shared" si="0"/>
        <v>121.875</v>
      </c>
      <c r="E49" s="36"/>
    </row>
    <row r="50" spans="1:5" x14ac:dyDescent="0.2">
      <c r="A50" s="141" t="s">
        <v>69</v>
      </c>
      <c r="B50" s="37">
        <v>11.53</v>
      </c>
      <c r="C50" s="38">
        <v>0</v>
      </c>
      <c r="D50" s="39">
        <f t="shared" si="0"/>
        <v>144.125</v>
      </c>
      <c r="E50" s="36"/>
    </row>
    <row r="51" spans="1:5" x14ac:dyDescent="0.2">
      <c r="A51" s="141" t="s">
        <v>70</v>
      </c>
      <c r="B51" s="37">
        <v>10.9</v>
      </c>
      <c r="C51" s="38">
        <v>0</v>
      </c>
      <c r="D51" s="39">
        <f t="shared" si="0"/>
        <v>136.25</v>
      </c>
      <c r="E51" s="36"/>
    </row>
    <row r="52" spans="1:5" x14ac:dyDescent="0.2">
      <c r="A52" s="141" t="s">
        <v>71</v>
      </c>
      <c r="B52" s="37">
        <v>12.43</v>
      </c>
      <c r="C52" s="38">
        <v>0</v>
      </c>
      <c r="D52" s="39">
        <f t="shared" si="0"/>
        <v>155.375</v>
      </c>
      <c r="E52" s="36"/>
    </row>
    <row r="53" spans="1:5" x14ac:dyDescent="0.2">
      <c r="A53" s="141" t="s">
        <v>72</v>
      </c>
      <c r="B53" s="37">
        <v>9.86</v>
      </c>
      <c r="C53" s="38">
        <v>0</v>
      </c>
      <c r="D53" s="39">
        <f t="shared" si="0"/>
        <v>123.25</v>
      </c>
      <c r="E53" s="36"/>
    </row>
    <row r="54" spans="1:5" x14ac:dyDescent="0.2">
      <c r="A54" s="141" t="s">
        <v>73</v>
      </c>
      <c r="B54" s="37">
        <v>11.14</v>
      </c>
      <c r="C54" s="38">
        <v>0</v>
      </c>
      <c r="D54" s="39">
        <f t="shared" si="0"/>
        <v>139.25</v>
      </c>
      <c r="E54" s="36"/>
    </row>
    <row r="55" spans="1:5" x14ac:dyDescent="0.2">
      <c r="A55" s="141" t="s">
        <v>74</v>
      </c>
      <c r="B55" s="37">
        <v>10.66</v>
      </c>
      <c r="C55" s="38">
        <v>0</v>
      </c>
      <c r="D55" s="39">
        <f t="shared" si="0"/>
        <v>133.25</v>
      </c>
      <c r="E55" s="36"/>
    </row>
    <row r="56" spans="1:5" x14ac:dyDescent="0.2">
      <c r="A56" s="141" t="s">
        <v>75</v>
      </c>
      <c r="B56" s="37">
        <v>12.28</v>
      </c>
      <c r="C56" s="38">
        <v>0</v>
      </c>
      <c r="D56" s="39">
        <f t="shared" si="0"/>
        <v>153.5</v>
      </c>
      <c r="E56" s="36"/>
    </row>
    <row r="57" spans="1:5" x14ac:dyDescent="0.2">
      <c r="A57" s="141" t="s">
        <v>76</v>
      </c>
      <c r="B57" s="37">
        <v>9.77</v>
      </c>
      <c r="C57" s="38">
        <v>0</v>
      </c>
      <c r="D57" s="39">
        <f t="shared" si="0"/>
        <v>122.125</v>
      </c>
      <c r="E57" s="36"/>
    </row>
    <row r="58" spans="1:5" x14ac:dyDescent="0.2">
      <c r="A58" s="141" t="s">
        <v>77</v>
      </c>
      <c r="B58" s="37">
        <v>11.55</v>
      </c>
      <c r="C58" s="38">
        <v>0</v>
      </c>
      <c r="D58" s="39">
        <f t="shared" si="0"/>
        <v>144.375</v>
      </c>
      <c r="E58" s="36"/>
    </row>
    <row r="59" spans="1:5" x14ac:dyDescent="0.2">
      <c r="A59" s="141" t="s">
        <v>78</v>
      </c>
      <c r="B59" s="37">
        <v>10.92</v>
      </c>
      <c r="C59" s="38">
        <v>0</v>
      </c>
      <c r="D59" s="39">
        <f t="shared" si="0"/>
        <v>136.5</v>
      </c>
      <c r="E59" s="36"/>
    </row>
    <row r="60" spans="1:5" x14ac:dyDescent="0.2">
      <c r="A60" s="141" t="s">
        <v>79</v>
      </c>
      <c r="B60" s="37">
        <v>12.45</v>
      </c>
      <c r="C60" s="38">
        <v>0</v>
      </c>
      <c r="D60" s="39">
        <f t="shared" si="0"/>
        <v>155.625</v>
      </c>
      <c r="E60" s="36"/>
    </row>
    <row r="61" spans="1:5" x14ac:dyDescent="0.2">
      <c r="A61" s="141" t="s">
        <v>80</v>
      </c>
      <c r="B61" s="37">
        <v>9.8800000000000008</v>
      </c>
      <c r="C61" s="38">
        <v>0</v>
      </c>
      <c r="D61" s="39">
        <f t="shared" si="0"/>
        <v>123.50000000000001</v>
      </c>
      <c r="E61" s="36"/>
    </row>
    <row r="62" spans="1:5" x14ac:dyDescent="0.2">
      <c r="A62" s="141" t="s">
        <v>81</v>
      </c>
      <c r="B62" s="37">
        <v>11.16</v>
      </c>
      <c r="C62" s="38">
        <v>0</v>
      </c>
      <c r="D62" s="39">
        <f t="shared" si="0"/>
        <v>139.5</v>
      </c>
      <c r="E62" s="36"/>
    </row>
    <row r="63" spans="1:5" x14ac:dyDescent="0.2">
      <c r="A63" s="141" t="s">
        <v>82</v>
      </c>
      <c r="B63" s="37">
        <v>10.68</v>
      </c>
      <c r="C63" s="38">
        <v>0</v>
      </c>
      <c r="D63" s="39">
        <f t="shared" si="0"/>
        <v>133.5</v>
      </c>
      <c r="E63" s="36"/>
    </row>
    <row r="64" spans="1:5" x14ac:dyDescent="0.2">
      <c r="A64" s="142" t="s">
        <v>83</v>
      </c>
      <c r="B64" s="37">
        <v>12.3</v>
      </c>
      <c r="C64" s="38">
        <v>0</v>
      </c>
      <c r="D64" s="39">
        <f t="shared" si="0"/>
        <v>153.75</v>
      </c>
      <c r="E64" s="36"/>
    </row>
    <row r="65" spans="1:5" x14ac:dyDescent="0.2">
      <c r="A65" s="142" t="s">
        <v>84</v>
      </c>
      <c r="B65" s="37">
        <v>9.7899999999999991</v>
      </c>
      <c r="C65" s="38">
        <v>0</v>
      </c>
      <c r="D65" s="39">
        <f t="shared" si="0"/>
        <v>122.37499999999999</v>
      </c>
      <c r="E65" s="36"/>
    </row>
    <row r="66" spans="1:5" ht="15" thickBot="1" x14ac:dyDescent="0.25">
      <c r="A66" s="143" t="s">
        <v>85</v>
      </c>
      <c r="B66" s="40">
        <v>11.57</v>
      </c>
      <c r="C66" s="41">
        <v>0</v>
      </c>
      <c r="D66" s="42">
        <f t="shared" si="0"/>
        <v>144.625</v>
      </c>
      <c r="E66" s="43"/>
    </row>
  </sheetData>
  <mergeCells count="19">
    <mergeCell ref="E7:E8"/>
    <mergeCell ref="A9:A10"/>
    <mergeCell ref="B9:B10"/>
    <mergeCell ref="A11:A12"/>
    <mergeCell ref="B11:B12"/>
    <mergeCell ref="E13:E66"/>
    <mergeCell ref="A5:A6"/>
    <mergeCell ref="B5:B6"/>
    <mergeCell ref="A7:A8"/>
    <mergeCell ref="B7:B8"/>
    <mergeCell ref="C7:C8"/>
    <mergeCell ref="D7:D8"/>
    <mergeCell ref="A1:E1"/>
    <mergeCell ref="A2:B2"/>
    <mergeCell ref="F2:G2"/>
    <mergeCell ref="A3:A4"/>
    <mergeCell ref="B3:B4"/>
    <mergeCell ref="F3:G3"/>
    <mergeCell ref="F4:G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80C1-D4CD-4878-B4DD-915AD452087D}">
  <sheetPr codeName="Sheet13">
    <tabColor rgb="FF00B0F0"/>
  </sheetPr>
  <dimension ref="A1:G66"/>
  <sheetViews>
    <sheetView workbookViewId="0">
      <selection activeCell="C11" sqref="C11"/>
    </sheetView>
  </sheetViews>
  <sheetFormatPr defaultRowHeight="14.25" x14ac:dyDescent="0.2"/>
  <cols>
    <col min="1" max="1" width="16.42578125" style="5" bestFit="1" customWidth="1"/>
    <col min="2" max="2" width="28.85546875" style="5" customWidth="1"/>
    <col min="3" max="3" width="20.42578125" style="5" customWidth="1"/>
    <col min="4" max="4" width="21.28515625" style="5" customWidth="1"/>
    <col min="5" max="5" width="14.28515625" style="5" bestFit="1" customWidth="1"/>
    <col min="6" max="6" width="19" style="5" bestFit="1" customWidth="1"/>
    <col min="7" max="7" width="18.5703125" style="5" customWidth="1"/>
    <col min="8" max="16384" width="9.140625" style="5"/>
  </cols>
  <sheetData>
    <row r="1" spans="1:7" ht="18.75" thickBot="1" x14ac:dyDescent="0.3">
      <c r="A1" s="52" t="s">
        <v>28</v>
      </c>
      <c r="B1" s="53"/>
      <c r="C1" s="53"/>
      <c r="D1" s="53"/>
      <c r="E1" s="54"/>
      <c r="F1" s="67"/>
      <c r="G1" s="67"/>
    </row>
    <row r="2" spans="1:7" ht="15" x14ac:dyDescent="0.2">
      <c r="A2" s="68" t="s">
        <v>9</v>
      </c>
      <c r="B2" s="69"/>
      <c r="C2" s="61" t="s">
        <v>29</v>
      </c>
      <c r="D2" s="61" t="s">
        <v>31</v>
      </c>
      <c r="E2" s="62"/>
      <c r="F2" s="55" t="s">
        <v>87</v>
      </c>
      <c r="G2" s="56"/>
    </row>
    <row r="3" spans="1:7" ht="15" x14ac:dyDescent="0.2">
      <c r="A3" s="57" t="s">
        <v>8</v>
      </c>
      <c r="B3" s="15" t="s">
        <v>142</v>
      </c>
      <c r="C3" s="16">
        <f>SUM(B14:B21)</f>
        <v>183.01999999999998</v>
      </c>
      <c r="D3" s="16">
        <f>SUM(B38:B59)</f>
        <v>503.15</v>
      </c>
      <c r="E3" s="63" t="s">
        <v>95</v>
      </c>
      <c r="F3" s="138">
        <v>0</v>
      </c>
      <c r="G3" s="139"/>
    </row>
    <row r="4" spans="1:7" ht="15" x14ac:dyDescent="0.2">
      <c r="A4" s="57"/>
      <c r="B4" s="15"/>
      <c r="C4" s="17">
        <v>2700</v>
      </c>
      <c r="D4" s="18">
        <v>2400</v>
      </c>
      <c r="E4" s="63" t="s">
        <v>97</v>
      </c>
      <c r="F4" s="64" t="s">
        <v>7</v>
      </c>
      <c r="G4" s="65"/>
    </row>
    <row r="5" spans="1:7" ht="15" x14ac:dyDescent="0.2">
      <c r="A5" s="57" t="s">
        <v>6</v>
      </c>
      <c r="B5" s="19" t="s">
        <v>151</v>
      </c>
      <c r="C5" s="20">
        <f>SUM(D14:D21)</f>
        <v>2699.5450000000001</v>
      </c>
      <c r="D5" s="18">
        <f>SUM(D60:D66)</f>
        <v>2375.1925000000001</v>
      </c>
      <c r="E5" s="63" t="s">
        <v>1</v>
      </c>
      <c r="F5" s="21" t="s">
        <v>96</v>
      </c>
      <c r="G5" s="145">
        <f>C3+C9+D9+D3</f>
        <v>1212.4299999999998</v>
      </c>
    </row>
    <row r="6" spans="1:7" ht="15" x14ac:dyDescent="0.2">
      <c r="A6" s="57"/>
      <c r="B6" s="19"/>
      <c r="C6" s="23">
        <f>C4-C5</f>
        <v>0.45499999999992724</v>
      </c>
      <c r="D6" s="18">
        <f>D4-D5</f>
        <v>24.807499999999891</v>
      </c>
      <c r="E6" s="63" t="s">
        <v>0</v>
      </c>
      <c r="F6" s="21" t="s">
        <v>98</v>
      </c>
      <c r="G6" s="22">
        <f>C4+C10+D4+D10</f>
        <v>17950</v>
      </c>
    </row>
    <row r="7" spans="1:7" ht="15" customHeight="1" x14ac:dyDescent="0.2">
      <c r="A7" s="57" t="s">
        <v>4</v>
      </c>
      <c r="B7" s="19" t="s">
        <v>169</v>
      </c>
      <c r="C7" s="58" t="s">
        <v>30</v>
      </c>
      <c r="D7" s="58" t="s">
        <v>32</v>
      </c>
      <c r="E7" s="66"/>
      <c r="F7" s="24" t="s">
        <v>5</v>
      </c>
      <c r="G7" s="22">
        <f>G5*B11</f>
        <v>17883.342499999999</v>
      </c>
    </row>
    <row r="8" spans="1:7" x14ac:dyDescent="0.2">
      <c r="A8" s="57"/>
      <c r="B8" s="19"/>
      <c r="C8" s="58"/>
      <c r="D8" s="58"/>
      <c r="E8" s="66"/>
      <c r="F8" s="25" t="s">
        <v>11</v>
      </c>
      <c r="G8" s="22">
        <f>(G7-G6)+F3</f>
        <v>-66.657500000001164</v>
      </c>
    </row>
    <row r="9" spans="1:7" ht="15.75" thickBot="1" x14ac:dyDescent="0.25">
      <c r="A9" s="57" t="s">
        <v>86</v>
      </c>
      <c r="B9" s="19" t="s">
        <v>12</v>
      </c>
      <c r="C9" s="26">
        <f>SUM(B22:B37)</f>
        <v>365.23</v>
      </c>
      <c r="D9" s="26">
        <f>SUM(B60:B66)</f>
        <v>161.03</v>
      </c>
      <c r="E9" s="63" t="s">
        <v>95</v>
      </c>
      <c r="F9" s="27" t="s">
        <v>3</v>
      </c>
      <c r="G9" s="28">
        <f>IFERROR(G8/B11, 0)</f>
        <v>-4.5191525423729599</v>
      </c>
    </row>
    <row r="10" spans="1:7" ht="15" x14ac:dyDescent="0.2">
      <c r="A10" s="57"/>
      <c r="B10" s="19"/>
      <c r="C10" s="29">
        <v>5400</v>
      </c>
      <c r="D10" s="18">
        <v>7450</v>
      </c>
      <c r="E10" s="63" t="s">
        <v>97</v>
      </c>
    </row>
    <row r="11" spans="1:7" ht="15" x14ac:dyDescent="0.2">
      <c r="A11" s="57" t="s">
        <v>2</v>
      </c>
      <c r="B11" s="30">
        <v>14.75</v>
      </c>
      <c r="C11" s="31">
        <f>SUM(D22:D37)</f>
        <v>5387.1425000000008</v>
      </c>
      <c r="D11" s="18">
        <f>SUM(D38:D59)</f>
        <v>7421.4625000000005</v>
      </c>
      <c r="E11" s="63" t="s">
        <v>1</v>
      </c>
    </row>
    <row r="12" spans="1:7" ht="15" x14ac:dyDescent="0.2">
      <c r="A12" s="57"/>
      <c r="B12" s="30"/>
      <c r="C12" s="18">
        <f>C10-C11</f>
        <v>12.857499999999163</v>
      </c>
      <c r="D12" s="18">
        <f>D10-D11</f>
        <v>28.537499999999454</v>
      </c>
      <c r="E12" s="63" t="s">
        <v>0</v>
      </c>
    </row>
    <row r="13" spans="1:7" ht="18.75" customHeight="1" thickBot="1" x14ac:dyDescent="0.25">
      <c r="A13" s="59" t="s">
        <v>17</v>
      </c>
      <c r="B13" s="60" t="s">
        <v>95</v>
      </c>
      <c r="C13" s="60" t="s">
        <v>87</v>
      </c>
      <c r="D13" s="60" t="s">
        <v>94</v>
      </c>
      <c r="E13" s="32"/>
    </row>
    <row r="14" spans="1:7" x14ac:dyDescent="0.2">
      <c r="A14" s="140" t="s">
        <v>33</v>
      </c>
      <c r="B14" s="33">
        <v>23.18</v>
      </c>
      <c r="C14" s="34">
        <v>0</v>
      </c>
      <c r="D14" s="35">
        <f t="shared" ref="D14:D66" si="0">B14*$B$11</f>
        <v>341.90499999999997</v>
      </c>
      <c r="E14" s="36"/>
    </row>
    <row r="15" spans="1:7" x14ac:dyDescent="0.2">
      <c r="A15" s="141" t="s">
        <v>34</v>
      </c>
      <c r="B15" s="37">
        <v>22.77</v>
      </c>
      <c r="C15" s="38">
        <v>0</v>
      </c>
      <c r="D15" s="39">
        <f t="shared" si="0"/>
        <v>335.85750000000002</v>
      </c>
      <c r="E15" s="36"/>
    </row>
    <row r="16" spans="1:7" x14ac:dyDescent="0.2">
      <c r="A16" s="141" t="s">
        <v>35</v>
      </c>
      <c r="B16" s="37">
        <v>24.01</v>
      </c>
      <c r="C16" s="38">
        <v>0</v>
      </c>
      <c r="D16" s="39">
        <f t="shared" si="0"/>
        <v>354.14750000000004</v>
      </c>
      <c r="E16" s="36"/>
    </row>
    <row r="17" spans="1:5" x14ac:dyDescent="0.2">
      <c r="A17" s="141" t="s">
        <v>36</v>
      </c>
      <c r="B17" s="37">
        <v>21.64</v>
      </c>
      <c r="C17" s="38">
        <v>0</v>
      </c>
      <c r="D17" s="39">
        <f t="shared" si="0"/>
        <v>319.19</v>
      </c>
      <c r="E17" s="36"/>
    </row>
    <row r="18" spans="1:5" x14ac:dyDescent="0.2">
      <c r="A18" s="141" t="s">
        <v>37</v>
      </c>
      <c r="B18" s="37">
        <v>23.52</v>
      </c>
      <c r="C18" s="38">
        <v>0</v>
      </c>
      <c r="D18" s="39">
        <f t="shared" si="0"/>
        <v>346.92</v>
      </c>
      <c r="E18" s="36"/>
    </row>
    <row r="19" spans="1:5" x14ac:dyDescent="0.2">
      <c r="A19" s="141" t="s">
        <v>38</v>
      </c>
      <c r="B19" s="37">
        <v>22.08</v>
      </c>
      <c r="C19" s="38">
        <v>0</v>
      </c>
      <c r="D19" s="39">
        <f t="shared" si="0"/>
        <v>325.67999999999995</v>
      </c>
      <c r="E19" s="36"/>
    </row>
    <row r="20" spans="1:5" x14ac:dyDescent="0.2">
      <c r="A20" s="141" t="s">
        <v>39</v>
      </c>
      <c r="B20" s="37">
        <v>24.33</v>
      </c>
      <c r="C20" s="38">
        <v>0</v>
      </c>
      <c r="D20" s="39">
        <f t="shared" si="0"/>
        <v>358.86749999999995</v>
      </c>
      <c r="E20" s="36"/>
    </row>
    <row r="21" spans="1:5" x14ac:dyDescent="0.2">
      <c r="A21" s="141" t="s">
        <v>40</v>
      </c>
      <c r="B21" s="37">
        <v>21.49</v>
      </c>
      <c r="C21" s="38">
        <v>0</v>
      </c>
      <c r="D21" s="39">
        <f t="shared" si="0"/>
        <v>316.97749999999996</v>
      </c>
      <c r="E21" s="36"/>
    </row>
    <row r="22" spans="1:5" x14ac:dyDescent="0.2">
      <c r="A22" s="141" t="s">
        <v>41</v>
      </c>
      <c r="B22" s="37">
        <v>23.07</v>
      </c>
      <c r="C22" s="38">
        <v>0</v>
      </c>
      <c r="D22" s="39">
        <f t="shared" si="0"/>
        <v>340.28250000000003</v>
      </c>
      <c r="E22" s="36"/>
    </row>
    <row r="23" spans="1:5" x14ac:dyDescent="0.2">
      <c r="A23" s="141" t="s">
        <v>42</v>
      </c>
      <c r="B23" s="37">
        <v>22.41</v>
      </c>
      <c r="C23" s="38">
        <v>0</v>
      </c>
      <c r="D23" s="39">
        <f t="shared" si="0"/>
        <v>330.54750000000001</v>
      </c>
      <c r="E23" s="36"/>
    </row>
    <row r="24" spans="1:5" x14ac:dyDescent="0.2">
      <c r="A24" s="141" t="s">
        <v>43</v>
      </c>
      <c r="B24" s="37">
        <v>24.12</v>
      </c>
      <c r="C24" s="38">
        <v>0</v>
      </c>
      <c r="D24" s="39">
        <f t="shared" si="0"/>
        <v>355.77000000000004</v>
      </c>
      <c r="E24" s="36"/>
    </row>
    <row r="25" spans="1:5" x14ac:dyDescent="0.2">
      <c r="A25" s="141" t="s">
        <v>44</v>
      </c>
      <c r="B25" s="37">
        <v>21.58</v>
      </c>
      <c r="C25" s="38">
        <v>0</v>
      </c>
      <c r="D25" s="39">
        <f t="shared" si="0"/>
        <v>318.30499999999995</v>
      </c>
      <c r="E25" s="36"/>
    </row>
    <row r="26" spans="1:5" x14ac:dyDescent="0.2">
      <c r="A26" s="141" t="s">
        <v>45</v>
      </c>
      <c r="B26" s="37">
        <v>23.36</v>
      </c>
      <c r="C26" s="38">
        <v>0</v>
      </c>
      <c r="D26" s="39">
        <f t="shared" si="0"/>
        <v>344.56</v>
      </c>
      <c r="E26" s="36"/>
    </row>
    <row r="27" spans="1:5" x14ac:dyDescent="0.2">
      <c r="A27" s="141" t="s">
        <v>46</v>
      </c>
      <c r="B27" s="37">
        <v>22.17</v>
      </c>
      <c r="C27" s="38">
        <v>0</v>
      </c>
      <c r="D27" s="39">
        <f t="shared" si="0"/>
        <v>327.00750000000005</v>
      </c>
      <c r="E27" s="36"/>
    </row>
    <row r="28" spans="1:5" x14ac:dyDescent="0.2">
      <c r="A28" s="141" t="s">
        <v>47</v>
      </c>
      <c r="B28" s="37">
        <v>24.28</v>
      </c>
      <c r="C28" s="38">
        <v>0</v>
      </c>
      <c r="D28" s="39">
        <f t="shared" si="0"/>
        <v>358.13</v>
      </c>
      <c r="E28" s="36"/>
    </row>
    <row r="29" spans="1:5" x14ac:dyDescent="0.2">
      <c r="A29" s="141" t="s">
        <v>48</v>
      </c>
      <c r="B29" s="37">
        <v>21.53</v>
      </c>
      <c r="C29" s="38">
        <v>0</v>
      </c>
      <c r="D29" s="39">
        <f t="shared" si="0"/>
        <v>317.5675</v>
      </c>
      <c r="E29" s="36"/>
    </row>
    <row r="30" spans="1:5" x14ac:dyDescent="0.2">
      <c r="A30" s="141" t="s">
        <v>49</v>
      </c>
      <c r="B30" s="37">
        <v>23.11</v>
      </c>
      <c r="C30" s="38">
        <v>0</v>
      </c>
      <c r="D30" s="39">
        <f t="shared" si="0"/>
        <v>340.8725</v>
      </c>
      <c r="E30" s="36"/>
    </row>
    <row r="31" spans="1:5" x14ac:dyDescent="0.2">
      <c r="A31" s="141" t="s">
        <v>50</v>
      </c>
      <c r="B31" s="37">
        <v>22.36</v>
      </c>
      <c r="C31" s="38">
        <v>0</v>
      </c>
      <c r="D31" s="39">
        <f t="shared" si="0"/>
        <v>329.81</v>
      </c>
      <c r="E31" s="36"/>
    </row>
    <row r="32" spans="1:5" x14ac:dyDescent="0.2">
      <c r="A32" s="141" t="s">
        <v>51</v>
      </c>
      <c r="B32" s="37">
        <v>24.18</v>
      </c>
      <c r="C32" s="38">
        <v>0</v>
      </c>
      <c r="D32" s="39">
        <f t="shared" si="0"/>
        <v>356.65499999999997</v>
      </c>
      <c r="E32" s="36"/>
    </row>
    <row r="33" spans="1:5" x14ac:dyDescent="0.2">
      <c r="A33" s="141" t="s">
        <v>52</v>
      </c>
      <c r="B33" s="37">
        <v>21.6</v>
      </c>
      <c r="C33" s="38">
        <v>0</v>
      </c>
      <c r="D33" s="39">
        <f t="shared" si="0"/>
        <v>318.60000000000002</v>
      </c>
      <c r="E33" s="36"/>
    </row>
    <row r="34" spans="1:5" x14ac:dyDescent="0.2">
      <c r="A34" s="141" t="s">
        <v>53</v>
      </c>
      <c r="B34" s="37">
        <v>23.4</v>
      </c>
      <c r="C34" s="38">
        <v>0</v>
      </c>
      <c r="D34" s="39">
        <f t="shared" si="0"/>
        <v>345.15</v>
      </c>
      <c r="E34" s="36"/>
    </row>
    <row r="35" spans="1:5" x14ac:dyDescent="0.2">
      <c r="A35" s="141" t="s">
        <v>54</v>
      </c>
      <c r="B35" s="37">
        <v>22.21</v>
      </c>
      <c r="C35" s="38">
        <v>0</v>
      </c>
      <c r="D35" s="39">
        <f t="shared" si="0"/>
        <v>327.59750000000003</v>
      </c>
      <c r="E35" s="36"/>
    </row>
    <row r="36" spans="1:5" x14ac:dyDescent="0.2">
      <c r="A36" s="141" t="s">
        <v>55</v>
      </c>
      <c r="B36" s="37">
        <v>24.3</v>
      </c>
      <c r="C36" s="38">
        <v>0</v>
      </c>
      <c r="D36" s="39">
        <f t="shared" si="0"/>
        <v>358.42500000000001</v>
      </c>
      <c r="E36" s="36"/>
    </row>
    <row r="37" spans="1:5" x14ac:dyDescent="0.2">
      <c r="A37" s="141" t="s">
        <v>56</v>
      </c>
      <c r="B37" s="37">
        <v>21.55</v>
      </c>
      <c r="C37" s="38">
        <v>0</v>
      </c>
      <c r="D37" s="39">
        <f t="shared" si="0"/>
        <v>317.86250000000001</v>
      </c>
      <c r="E37" s="36"/>
    </row>
    <row r="38" spans="1:5" x14ac:dyDescent="0.2">
      <c r="A38" s="141" t="s">
        <v>57</v>
      </c>
      <c r="B38" s="37">
        <v>23.13</v>
      </c>
      <c r="C38" s="38">
        <v>0</v>
      </c>
      <c r="D38" s="39">
        <f t="shared" si="0"/>
        <v>341.16749999999996</v>
      </c>
      <c r="E38" s="36"/>
    </row>
    <row r="39" spans="1:5" x14ac:dyDescent="0.2">
      <c r="A39" s="141" t="s">
        <v>58</v>
      </c>
      <c r="B39" s="37">
        <v>22.39</v>
      </c>
      <c r="C39" s="38">
        <v>0</v>
      </c>
      <c r="D39" s="39">
        <f t="shared" si="0"/>
        <v>330.2525</v>
      </c>
      <c r="E39" s="36"/>
    </row>
    <row r="40" spans="1:5" x14ac:dyDescent="0.2">
      <c r="A40" s="141" t="s">
        <v>59</v>
      </c>
      <c r="B40" s="37">
        <v>24.2</v>
      </c>
      <c r="C40" s="38">
        <v>0</v>
      </c>
      <c r="D40" s="39">
        <f t="shared" si="0"/>
        <v>356.95</v>
      </c>
      <c r="E40" s="36"/>
    </row>
    <row r="41" spans="1:5" x14ac:dyDescent="0.2">
      <c r="A41" s="141" t="s">
        <v>60</v>
      </c>
      <c r="B41" s="37">
        <v>21.62</v>
      </c>
      <c r="C41" s="38">
        <v>0</v>
      </c>
      <c r="D41" s="39">
        <f t="shared" si="0"/>
        <v>318.89500000000004</v>
      </c>
      <c r="E41" s="36"/>
    </row>
    <row r="42" spans="1:5" x14ac:dyDescent="0.2">
      <c r="A42" s="141" t="s">
        <v>61</v>
      </c>
      <c r="B42" s="37">
        <v>23.42</v>
      </c>
      <c r="C42" s="38">
        <v>0</v>
      </c>
      <c r="D42" s="39">
        <f t="shared" si="0"/>
        <v>345.44500000000005</v>
      </c>
      <c r="E42" s="36"/>
    </row>
    <row r="43" spans="1:5" x14ac:dyDescent="0.2">
      <c r="A43" s="141" t="s">
        <v>62</v>
      </c>
      <c r="B43" s="37">
        <v>22.23</v>
      </c>
      <c r="C43" s="38">
        <v>0</v>
      </c>
      <c r="D43" s="39">
        <f t="shared" si="0"/>
        <v>327.89249999999998</v>
      </c>
      <c r="E43" s="36"/>
    </row>
    <row r="44" spans="1:5" x14ac:dyDescent="0.2">
      <c r="A44" s="141" t="s">
        <v>63</v>
      </c>
      <c r="B44" s="37">
        <v>24.32</v>
      </c>
      <c r="C44" s="38">
        <v>0</v>
      </c>
      <c r="D44" s="39">
        <f t="shared" si="0"/>
        <v>358.72</v>
      </c>
      <c r="E44" s="36"/>
    </row>
    <row r="45" spans="1:5" x14ac:dyDescent="0.2">
      <c r="A45" s="141" t="s">
        <v>64</v>
      </c>
      <c r="B45" s="37">
        <v>21.57</v>
      </c>
      <c r="C45" s="38">
        <v>0</v>
      </c>
      <c r="D45" s="39">
        <f t="shared" si="0"/>
        <v>318.15750000000003</v>
      </c>
      <c r="E45" s="36"/>
    </row>
    <row r="46" spans="1:5" x14ac:dyDescent="0.2">
      <c r="A46" s="141" t="s">
        <v>65</v>
      </c>
      <c r="B46" s="37">
        <v>23.15</v>
      </c>
      <c r="C46" s="38">
        <v>0</v>
      </c>
      <c r="D46" s="39">
        <f t="shared" si="0"/>
        <v>341.46249999999998</v>
      </c>
      <c r="E46" s="36"/>
    </row>
    <row r="47" spans="1:5" x14ac:dyDescent="0.2">
      <c r="A47" s="141" t="s">
        <v>66</v>
      </c>
      <c r="B47" s="37">
        <v>22.41</v>
      </c>
      <c r="C47" s="38">
        <v>0</v>
      </c>
      <c r="D47" s="39">
        <f t="shared" si="0"/>
        <v>330.54750000000001</v>
      </c>
      <c r="E47" s="36"/>
    </row>
    <row r="48" spans="1:5" x14ac:dyDescent="0.2">
      <c r="A48" s="141" t="s">
        <v>67</v>
      </c>
      <c r="B48" s="37">
        <v>24.22</v>
      </c>
      <c r="C48" s="38">
        <v>0</v>
      </c>
      <c r="D48" s="39">
        <f t="shared" si="0"/>
        <v>357.245</v>
      </c>
      <c r="E48" s="36"/>
    </row>
    <row r="49" spans="1:5" x14ac:dyDescent="0.2">
      <c r="A49" s="141" t="s">
        <v>68</v>
      </c>
      <c r="B49" s="37">
        <v>21.64</v>
      </c>
      <c r="C49" s="38">
        <v>0</v>
      </c>
      <c r="D49" s="39">
        <f t="shared" si="0"/>
        <v>319.19</v>
      </c>
      <c r="E49" s="36"/>
    </row>
    <row r="50" spans="1:5" x14ac:dyDescent="0.2">
      <c r="A50" s="141" t="s">
        <v>69</v>
      </c>
      <c r="B50" s="37">
        <v>23.44</v>
      </c>
      <c r="C50" s="38">
        <v>0</v>
      </c>
      <c r="D50" s="39">
        <f t="shared" si="0"/>
        <v>345.74</v>
      </c>
      <c r="E50" s="36"/>
    </row>
    <row r="51" spans="1:5" x14ac:dyDescent="0.2">
      <c r="A51" s="141" t="s">
        <v>70</v>
      </c>
      <c r="B51" s="37">
        <v>22.25</v>
      </c>
      <c r="C51" s="38">
        <v>0</v>
      </c>
      <c r="D51" s="39">
        <f t="shared" si="0"/>
        <v>328.1875</v>
      </c>
      <c r="E51" s="36"/>
    </row>
    <row r="52" spans="1:5" x14ac:dyDescent="0.2">
      <c r="A52" s="141" t="s">
        <v>71</v>
      </c>
      <c r="B52" s="37">
        <v>24.34</v>
      </c>
      <c r="C52" s="38">
        <v>0</v>
      </c>
      <c r="D52" s="39">
        <f t="shared" si="0"/>
        <v>359.01499999999999</v>
      </c>
      <c r="E52" s="36"/>
    </row>
    <row r="53" spans="1:5" x14ac:dyDescent="0.2">
      <c r="A53" s="141" t="s">
        <v>72</v>
      </c>
      <c r="B53" s="37">
        <v>21.59</v>
      </c>
      <c r="C53" s="38">
        <v>0</v>
      </c>
      <c r="D53" s="39">
        <f t="shared" si="0"/>
        <v>318.45249999999999</v>
      </c>
      <c r="E53" s="36"/>
    </row>
    <row r="54" spans="1:5" x14ac:dyDescent="0.2">
      <c r="A54" s="141" t="s">
        <v>73</v>
      </c>
      <c r="B54" s="37">
        <v>23.17</v>
      </c>
      <c r="C54" s="38">
        <v>0</v>
      </c>
      <c r="D54" s="39">
        <f t="shared" si="0"/>
        <v>341.75750000000005</v>
      </c>
      <c r="E54" s="36"/>
    </row>
    <row r="55" spans="1:5" x14ac:dyDescent="0.2">
      <c r="A55" s="141" t="s">
        <v>74</v>
      </c>
      <c r="B55" s="37">
        <v>22.43</v>
      </c>
      <c r="C55" s="38">
        <v>0</v>
      </c>
      <c r="D55" s="39">
        <f t="shared" si="0"/>
        <v>330.84249999999997</v>
      </c>
      <c r="E55" s="36"/>
    </row>
    <row r="56" spans="1:5" x14ac:dyDescent="0.2">
      <c r="A56" s="141" t="s">
        <v>75</v>
      </c>
      <c r="B56" s="37">
        <v>24.24</v>
      </c>
      <c r="C56" s="38">
        <v>0</v>
      </c>
      <c r="D56" s="39">
        <f t="shared" si="0"/>
        <v>357.53999999999996</v>
      </c>
      <c r="E56" s="36"/>
    </row>
    <row r="57" spans="1:5" x14ac:dyDescent="0.2">
      <c r="A57" s="141" t="s">
        <v>76</v>
      </c>
      <c r="B57" s="37">
        <v>21.66</v>
      </c>
      <c r="C57" s="38">
        <v>0</v>
      </c>
      <c r="D57" s="39">
        <f t="shared" si="0"/>
        <v>319.48500000000001</v>
      </c>
      <c r="E57" s="36"/>
    </row>
    <row r="58" spans="1:5" x14ac:dyDescent="0.2">
      <c r="A58" s="141" t="s">
        <v>77</v>
      </c>
      <c r="B58" s="37">
        <v>23.46</v>
      </c>
      <c r="C58" s="38">
        <v>0</v>
      </c>
      <c r="D58" s="39">
        <f t="shared" si="0"/>
        <v>346.03500000000003</v>
      </c>
      <c r="E58" s="36"/>
    </row>
    <row r="59" spans="1:5" x14ac:dyDescent="0.2">
      <c r="A59" s="141" t="s">
        <v>78</v>
      </c>
      <c r="B59" s="37">
        <v>22.27</v>
      </c>
      <c r="C59" s="38">
        <v>0</v>
      </c>
      <c r="D59" s="39">
        <f t="shared" si="0"/>
        <v>328.48250000000002</v>
      </c>
      <c r="E59" s="36"/>
    </row>
    <row r="60" spans="1:5" x14ac:dyDescent="0.2">
      <c r="A60" s="141" t="s">
        <v>79</v>
      </c>
      <c r="B60" s="37">
        <v>24.36</v>
      </c>
      <c r="C60" s="38">
        <v>0</v>
      </c>
      <c r="D60" s="39">
        <f t="shared" si="0"/>
        <v>359.31</v>
      </c>
      <c r="E60" s="36"/>
    </row>
    <row r="61" spans="1:5" x14ac:dyDescent="0.2">
      <c r="A61" s="141" t="s">
        <v>80</v>
      </c>
      <c r="B61" s="37">
        <v>21.61</v>
      </c>
      <c r="C61" s="38">
        <v>0</v>
      </c>
      <c r="D61" s="39">
        <f t="shared" si="0"/>
        <v>318.7475</v>
      </c>
      <c r="E61" s="36"/>
    </row>
    <row r="62" spans="1:5" x14ac:dyDescent="0.2">
      <c r="A62" s="141" t="s">
        <v>81</v>
      </c>
      <c r="B62" s="37">
        <v>23.19</v>
      </c>
      <c r="C62" s="38">
        <v>0</v>
      </c>
      <c r="D62" s="39">
        <f t="shared" si="0"/>
        <v>342.05250000000001</v>
      </c>
      <c r="E62" s="36"/>
    </row>
    <row r="63" spans="1:5" x14ac:dyDescent="0.2">
      <c r="A63" s="141" t="s">
        <v>82</v>
      </c>
      <c r="B63" s="37">
        <v>22.45</v>
      </c>
      <c r="C63" s="38">
        <v>0</v>
      </c>
      <c r="D63" s="39">
        <f t="shared" si="0"/>
        <v>331.13749999999999</v>
      </c>
      <c r="E63" s="36"/>
    </row>
    <row r="64" spans="1:5" x14ac:dyDescent="0.2">
      <c r="A64" s="142" t="s">
        <v>83</v>
      </c>
      <c r="B64" s="37">
        <v>24.26</v>
      </c>
      <c r="C64" s="38">
        <v>0</v>
      </c>
      <c r="D64" s="39">
        <f t="shared" si="0"/>
        <v>357.83500000000004</v>
      </c>
      <c r="E64" s="36"/>
    </row>
    <row r="65" spans="1:5" x14ac:dyDescent="0.2">
      <c r="A65" s="142" t="s">
        <v>84</v>
      </c>
      <c r="B65" s="37">
        <v>21.68</v>
      </c>
      <c r="C65" s="38">
        <v>0</v>
      </c>
      <c r="D65" s="39">
        <f t="shared" si="0"/>
        <v>319.77999999999997</v>
      </c>
      <c r="E65" s="36"/>
    </row>
    <row r="66" spans="1:5" ht="15" thickBot="1" x14ac:dyDescent="0.25">
      <c r="A66" s="143" t="s">
        <v>85</v>
      </c>
      <c r="B66" s="40">
        <v>23.48</v>
      </c>
      <c r="C66" s="41">
        <v>0</v>
      </c>
      <c r="D66" s="42">
        <f t="shared" si="0"/>
        <v>346.33</v>
      </c>
      <c r="E66" s="43"/>
    </row>
  </sheetData>
  <mergeCells count="19">
    <mergeCell ref="E7:E8"/>
    <mergeCell ref="A9:A10"/>
    <mergeCell ref="B9:B10"/>
    <mergeCell ref="A11:A12"/>
    <mergeCell ref="B11:B12"/>
    <mergeCell ref="E13:E66"/>
    <mergeCell ref="A5:A6"/>
    <mergeCell ref="B5:B6"/>
    <mergeCell ref="A7:A8"/>
    <mergeCell ref="B7:B8"/>
    <mergeCell ref="C7:C8"/>
    <mergeCell ref="D7:D8"/>
    <mergeCell ref="A1:E1"/>
    <mergeCell ref="A2:B2"/>
    <mergeCell ref="F2:G2"/>
    <mergeCell ref="A3:A4"/>
    <mergeCell ref="B3:B4"/>
    <mergeCell ref="F3:G3"/>
    <mergeCell ref="F4:G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AF06E-849E-4A01-BEE5-BE6CD58C8C34}">
  <sheetPr codeName="Sheet15">
    <tabColor rgb="FF00B0F0"/>
  </sheetPr>
  <dimension ref="A1:G66"/>
  <sheetViews>
    <sheetView workbookViewId="0">
      <selection activeCell="C10" sqref="C10"/>
    </sheetView>
  </sheetViews>
  <sheetFormatPr defaultRowHeight="14.25" x14ac:dyDescent="0.2"/>
  <cols>
    <col min="1" max="1" width="16.42578125" style="5" bestFit="1" customWidth="1"/>
    <col min="2" max="2" width="28.85546875" style="5" customWidth="1"/>
    <col min="3" max="3" width="20.42578125" style="5" customWidth="1"/>
    <col min="4" max="4" width="21.28515625" style="5" customWidth="1"/>
    <col min="5" max="5" width="14.28515625" style="5" bestFit="1" customWidth="1"/>
    <col min="6" max="6" width="19" style="5" bestFit="1" customWidth="1"/>
    <col min="7" max="7" width="18.5703125" style="5" customWidth="1"/>
    <col min="8" max="16384" width="9.140625" style="5"/>
  </cols>
  <sheetData>
    <row r="1" spans="1:7" ht="18.75" thickBot="1" x14ac:dyDescent="0.3">
      <c r="A1" s="52" t="s">
        <v>28</v>
      </c>
      <c r="B1" s="53"/>
      <c r="C1" s="53"/>
      <c r="D1" s="53"/>
      <c r="E1" s="54"/>
      <c r="F1" s="67"/>
      <c r="G1" s="67"/>
    </row>
    <row r="2" spans="1:7" ht="15" x14ac:dyDescent="0.2">
      <c r="A2" s="68" t="s">
        <v>9</v>
      </c>
      <c r="B2" s="69"/>
      <c r="C2" s="61" t="s">
        <v>29</v>
      </c>
      <c r="D2" s="61" t="s">
        <v>31</v>
      </c>
      <c r="E2" s="62"/>
      <c r="F2" s="55" t="s">
        <v>87</v>
      </c>
      <c r="G2" s="56"/>
    </row>
    <row r="3" spans="1:7" ht="15" x14ac:dyDescent="0.2">
      <c r="A3" s="57" t="s">
        <v>8</v>
      </c>
      <c r="B3" s="15" t="s">
        <v>143</v>
      </c>
      <c r="C3" s="16">
        <f>SUM(B14:B21)</f>
        <v>102.15</v>
      </c>
      <c r="D3" s="16">
        <f>SUM(B38:B59)</f>
        <v>279.65000000000003</v>
      </c>
      <c r="E3" s="63" t="s">
        <v>95</v>
      </c>
      <c r="F3" s="138">
        <v>0</v>
      </c>
      <c r="G3" s="139"/>
    </row>
    <row r="4" spans="1:7" ht="15" x14ac:dyDescent="0.2">
      <c r="A4" s="57"/>
      <c r="B4" s="15"/>
      <c r="C4" s="17">
        <v>1300</v>
      </c>
      <c r="D4" s="18">
        <v>1150</v>
      </c>
      <c r="E4" s="63" t="s">
        <v>97</v>
      </c>
      <c r="F4" s="64" t="s">
        <v>7</v>
      </c>
      <c r="G4" s="65"/>
    </row>
    <row r="5" spans="1:7" ht="15" x14ac:dyDescent="0.2">
      <c r="A5" s="57" t="s">
        <v>6</v>
      </c>
      <c r="B5" s="19" t="s">
        <v>152</v>
      </c>
      <c r="C5" s="20">
        <f>SUM(D14:D21)</f>
        <v>1276.875</v>
      </c>
      <c r="D5" s="18">
        <f>SUM(D60:D66)</f>
        <v>1121.375</v>
      </c>
      <c r="E5" s="63" t="s">
        <v>1</v>
      </c>
      <c r="F5" s="21" t="s">
        <v>96</v>
      </c>
      <c r="G5" s="145">
        <f>C3+C9+D9+D3</f>
        <v>674.37</v>
      </c>
    </row>
    <row r="6" spans="1:7" ht="15" x14ac:dyDescent="0.2">
      <c r="A6" s="57"/>
      <c r="B6" s="19"/>
      <c r="C6" s="23">
        <f>C4-C5</f>
        <v>23.125</v>
      </c>
      <c r="D6" s="18">
        <f>D4-D5</f>
        <v>28.625</v>
      </c>
      <c r="E6" s="63" t="s">
        <v>0</v>
      </c>
      <c r="F6" s="21" t="s">
        <v>98</v>
      </c>
      <c r="G6" s="22">
        <f>C4+C10+D4+D10</f>
        <v>8500</v>
      </c>
    </row>
    <row r="7" spans="1:7" ht="15" customHeight="1" x14ac:dyDescent="0.2">
      <c r="A7" s="57" t="s">
        <v>4</v>
      </c>
      <c r="B7" s="19" t="s">
        <v>170</v>
      </c>
      <c r="C7" s="58" t="s">
        <v>30</v>
      </c>
      <c r="D7" s="58" t="s">
        <v>32</v>
      </c>
      <c r="E7" s="66"/>
      <c r="F7" s="24" t="s">
        <v>5</v>
      </c>
      <c r="G7" s="22">
        <f>G5*B11</f>
        <v>8429.625</v>
      </c>
    </row>
    <row r="8" spans="1:7" x14ac:dyDescent="0.2">
      <c r="A8" s="57"/>
      <c r="B8" s="19"/>
      <c r="C8" s="58"/>
      <c r="D8" s="58"/>
      <c r="E8" s="66"/>
      <c r="F8" s="25" t="s">
        <v>11</v>
      </c>
      <c r="G8" s="22">
        <f>(G7-G6)+F3</f>
        <v>-70.375</v>
      </c>
    </row>
    <row r="9" spans="1:7" ht="15.75" thickBot="1" x14ac:dyDescent="0.25">
      <c r="A9" s="57" t="s">
        <v>86</v>
      </c>
      <c r="B9" s="19" t="s">
        <v>210</v>
      </c>
      <c r="C9" s="26">
        <f>SUM(B22:B37)</f>
        <v>202.85999999999999</v>
      </c>
      <c r="D9" s="26">
        <f>SUM(B60:B66)</f>
        <v>89.71</v>
      </c>
      <c r="E9" s="63" t="s">
        <v>95</v>
      </c>
      <c r="F9" s="27" t="s">
        <v>3</v>
      </c>
      <c r="G9" s="28">
        <f>IFERROR(G8/B11, 0)</f>
        <v>-5.63</v>
      </c>
    </row>
    <row r="10" spans="1:7" ht="15" x14ac:dyDescent="0.2">
      <c r="A10" s="57"/>
      <c r="B10" s="19"/>
      <c r="C10" s="29">
        <v>2550</v>
      </c>
      <c r="D10" s="18">
        <v>3500</v>
      </c>
      <c r="E10" s="63" t="s">
        <v>97</v>
      </c>
    </row>
    <row r="11" spans="1:7" ht="15" x14ac:dyDescent="0.2">
      <c r="A11" s="57" t="s">
        <v>2</v>
      </c>
      <c r="B11" s="30">
        <v>12.5</v>
      </c>
      <c r="C11" s="31">
        <f>SUM(D22:D37)</f>
        <v>2535.75</v>
      </c>
      <c r="D11" s="18">
        <f>SUM(D38:D59)</f>
        <v>3495.625</v>
      </c>
      <c r="E11" s="63" t="s">
        <v>1</v>
      </c>
    </row>
    <row r="12" spans="1:7" ht="15" x14ac:dyDescent="0.2">
      <c r="A12" s="57"/>
      <c r="B12" s="30"/>
      <c r="C12" s="18">
        <f>C10-C11</f>
        <v>14.25</v>
      </c>
      <c r="D12" s="18">
        <f>D10-D11</f>
        <v>4.375</v>
      </c>
      <c r="E12" s="63" t="s">
        <v>0</v>
      </c>
    </row>
    <row r="13" spans="1:7" ht="18.75" customHeight="1" thickBot="1" x14ac:dyDescent="0.25">
      <c r="A13" s="59" t="s">
        <v>17</v>
      </c>
      <c r="B13" s="60" t="s">
        <v>95</v>
      </c>
      <c r="C13" s="60" t="s">
        <v>87</v>
      </c>
      <c r="D13" s="60" t="s">
        <v>94</v>
      </c>
      <c r="E13" s="32"/>
    </row>
    <row r="14" spans="1:7" x14ac:dyDescent="0.2">
      <c r="A14" s="140" t="s">
        <v>33</v>
      </c>
      <c r="B14" s="33">
        <v>13.05</v>
      </c>
      <c r="C14" s="34">
        <v>0</v>
      </c>
      <c r="D14" s="35">
        <f t="shared" ref="D14:D66" si="0">B14*$B$11</f>
        <v>163.125</v>
      </c>
      <c r="E14" s="36"/>
    </row>
    <row r="15" spans="1:7" x14ac:dyDescent="0.2">
      <c r="A15" s="141" t="s">
        <v>34</v>
      </c>
      <c r="B15" s="37">
        <v>12.44</v>
      </c>
      <c r="C15" s="38">
        <v>0</v>
      </c>
      <c r="D15" s="39">
        <f t="shared" si="0"/>
        <v>155.5</v>
      </c>
      <c r="E15" s="36"/>
    </row>
    <row r="16" spans="1:7" x14ac:dyDescent="0.2">
      <c r="A16" s="141" t="s">
        <v>35</v>
      </c>
      <c r="B16" s="37">
        <v>13.66</v>
      </c>
      <c r="C16" s="38">
        <v>0</v>
      </c>
      <c r="D16" s="39">
        <f t="shared" si="0"/>
        <v>170.75</v>
      </c>
      <c r="E16" s="36"/>
    </row>
    <row r="17" spans="1:5" x14ac:dyDescent="0.2">
      <c r="A17" s="141" t="s">
        <v>36</v>
      </c>
      <c r="B17" s="37">
        <v>11.83</v>
      </c>
      <c r="C17" s="38">
        <v>0</v>
      </c>
      <c r="D17" s="39">
        <f t="shared" si="0"/>
        <v>147.875</v>
      </c>
      <c r="E17" s="36"/>
    </row>
    <row r="18" spans="1:5" x14ac:dyDescent="0.2">
      <c r="A18" s="141" t="s">
        <v>37</v>
      </c>
      <c r="B18" s="37">
        <v>12.97</v>
      </c>
      <c r="C18" s="38">
        <v>0</v>
      </c>
      <c r="D18" s="39">
        <f t="shared" si="0"/>
        <v>162.125</v>
      </c>
      <c r="E18" s="36"/>
    </row>
    <row r="19" spans="1:5" x14ac:dyDescent="0.2">
      <c r="A19" s="141" t="s">
        <v>38</v>
      </c>
      <c r="B19" s="37">
        <v>12.36</v>
      </c>
      <c r="C19" s="38">
        <v>0</v>
      </c>
      <c r="D19" s="39">
        <f t="shared" si="0"/>
        <v>154.5</v>
      </c>
      <c r="E19" s="36"/>
    </row>
    <row r="20" spans="1:5" x14ac:dyDescent="0.2">
      <c r="A20" s="141" t="s">
        <v>39</v>
      </c>
      <c r="B20" s="37">
        <v>13.89</v>
      </c>
      <c r="C20" s="38">
        <v>0</v>
      </c>
      <c r="D20" s="39">
        <f t="shared" si="0"/>
        <v>173.625</v>
      </c>
      <c r="E20" s="36"/>
    </row>
    <row r="21" spans="1:5" x14ac:dyDescent="0.2">
      <c r="A21" s="141" t="s">
        <v>40</v>
      </c>
      <c r="B21" s="37">
        <v>11.95</v>
      </c>
      <c r="C21" s="38">
        <v>0</v>
      </c>
      <c r="D21" s="39">
        <f t="shared" si="0"/>
        <v>149.375</v>
      </c>
      <c r="E21" s="36"/>
    </row>
    <row r="22" spans="1:5" x14ac:dyDescent="0.2">
      <c r="A22" s="141" t="s">
        <v>41</v>
      </c>
      <c r="B22" s="37">
        <v>12.73</v>
      </c>
      <c r="C22" s="38">
        <v>0</v>
      </c>
      <c r="D22" s="39">
        <f t="shared" si="0"/>
        <v>159.125</v>
      </c>
      <c r="E22" s="36"/>
    </row>
    <row r="23" spans="1:5" x14ac:dyDescent="0.2">
      <c r="A23" s="141" t="s">
        <v>42</v>
      </c>
      <c r="B23" s="37">
        <v>12.2</v>
      </c>
      <c r="C23" s="38">
        <v>0</v>
      </c>
      <c r="D23" s="39">
        <f t="shared" si="0"/>
        <v>152.5</v>
      </c>
      <c r="E23" s="36"/>
    </row>
    <row r="24" spans="1:5" x14ac:dyDescent="0.2">
      <c r="A24" s="141" t="s">
        <v>43</v>
      </c>
      <c r="B24" s="37">
        <v>13.52</v>
      </c>
      <c r="C24" s="38">
        <v>0</v>
      </c>
      <c r="D24" s="39">
        <f t="shared" si="0"/>
        <v>169</v>
      </c>
      <c r="E24" s="36"/>
    </row>
    <row r="25" spans="1:5" x14ac:dyDescent="0.2">
      <c r="A25" s="141" t="s">
        <v>44</v>
      </c>
      <c r="B25" s="37">
        <v>11.89</v>
      </c>
      <c r="C25" s="38">
        <v>0</v>
      </c>
      <c r="D25" s="39">
        <f t="shared" si="0"/>
        <v>148.625</v>
      </c>
      <c r="E25" s="36"/>
    </row>
    <row r="26" spans="1:5" x14ac:dyDescent="0.2">
      <c r="A26" s="141" t="s">
        <v>45</v>
      </c>
      <c r="B26" s="37">
        <v>12.91</v>
      </c>
      <c r="C26" s="38">
        <v>0</v>
      </c>
      <c r="D26" s="39">
        <f t="shared" si="0"/>
        <v>161.375</v>
      </c>
      <c r="E26" s="36"/>
    </row>
    <row r="27" spans="1:5" x14ac:dyDescent="0.2">
      <c r="A27" s="141" t="s">
        <v>46</v>
      </c>
      <c r="B27" s="37">
        <v>12.32</v>
      </c>
      <c r="C27" s="38">
        <v>0</v>
      </c>
      <c r="D27" s="39">
        <f t="shared" si="0"/>
        <v>154</v>
      </c>
      <c r="E27" s="36"/>
    </row>
    <row r="28" spans="1:5" x14ac:dyDescent="0.2">
      <c r="A28" s="141" t="s">
        <v>47</v>
      </c>
      <c r="B28" s="37">
        <v>13.78</v>
      </c>
      <c r="C28" s="38">
        <v>0</v>
      </c>
      <c r="D28" s="39">
        <f t="shared" si="0"/>
        <v>172.25</v>
      </c>
      <c r="E28" s="36"/>
    </row>
    <row r="29" spans="1:5" x14ac:dyDescent="0.2">
      <c r="A29" s="141" t="s">
        <v>48</v>
      </c>
      <c r="B29" s="37">
        <v>11.97</v>
      </c>
      <c r="C29" s="38">
        <v>0</v>
      </c>
      <c r="D29" s="39">
        <f t="shared" si="0"/>
        <v>149.625</v>
      </c>
      <c r="E29" s="36"/>
    </row>
    <row r="30" spans="1:5" x14ac:dyDescent="0.2">
      <c r="A30" s="141" t="s">
        <v>49</v>
      </c>
      <c r="B30" s="37">
        <v>12.68</v>
      </c>
      <c r="C30" s="38">
        <v>0</v>
      </c>
      <c r="D30" s="39">
        <f t="shared" si="0"/>
        <v>158.5</v>
      </c>
      <c r="E30" s="36"/>
    </row>
    <row r="31" spans="1:5" x14ac:dyDescent="0.2">
      <c r="A31" s="141" t="s">
        <v>50</v>
      </c>
      <c r="B31" s="37">
        <v>12.25</v>
      </c>
      <c r="C31" s="38">
        <v>0</v>
      </c>
      <c r="D31" s="39">
        <f t="shared" si="0"/>
        <v>153.125</v>
      </c>
      <c r="E31" s="36"/>
    </row>
    <row r="32" spans="1:5" x14ac:dyDescent="0.2">
      <c r="A32" s="141" t="s">
        <v>51</v>
      </c>
      <c r="B32" s="37">
        <v>13.59</v>
      </c>
      <c r="C32" s="38">
        <v>0</v>
      </c>
      <c r="D32" s="39">
        <f t="shared" si="0"/>
        <v>169.875</v>
      </c>
      <c r="E32" s="36"/>
    </row>
    <row r="33" spans="1:5" x14ac:dyDescent="0.2">
      <c r="A33" s="141" t="s">
        <v>52</v>
      </c>
      <c r="B33" s="37">
        <v>11.92</v>
      </c>
      <c r="C33" s="38">
        <v>0</v>
      </c>
      <c r="D33" s="39">
        <f t="shared" si="0"/>
        <v>149</v>
      </c>
      <c r="E33" s="36"/>
    </row>
    <row r="34" spans="1:5" x14ac:dyDescent="0.2">
      <c r="A34" s="141" t="s">
        <v>53</v>
      </c>
      <c r="B34" s="37">
        <v>12.94</v>
      </c>
      <c r="C34" s="38">
        <v>0</v>
      </c>
      <c r="D34" s="39">
        <f t="shared" si="0"/>
        <v>161.75</v>
      </c>
      <c r="E34" s="36"/>
    </row>
    <row r="35" spans="1:5" x14ac:dyDescent="0.2">
      <c r="A35" s="141" t="s">
        <v>54</v>
      </c>
      <c r="B35" s="37">
        <v>12.35</v>
      </c>
      <c r="C35" s="38">
        <v>0</v>
      </c>
      <c r="D35" s="39">
        <f t="shared" si="0"/>
        <v>154.375</v>
      </c>
      <c r="E35" s="36"/>
    </row>
    <row r="36" spans="1:5" x14ac:dyDescent="0.2">
      <c r="A36" s="141" t="s">
        <v>55</v>
      </c>
      <c r="B36" s="37">
        <v>13.82</v>
      </c>
      <c r="C36" s="38">
        <v>0</v>
      </c>
      <c r="D36" s="39">
        <f t="shared" si="0"/>
        <v>172.75</v>
      </c>
      <c r="E36" s="36"/>
    </row>
    <row r="37" spans="1:5" x14ac:dyDescent="0.2">
      <c r="A37" s="141" t="s">
        <v>56</v>
      </c>
      <c r="B37" s="37">
        <v>11.99</v>
      </c>
      <c r="C37" s="38">
        <v>0</v>
      </c>
      <c r="D37" s="39">
        <f t="shared" si="0"/>
        <v>149.875</v>
      </c>
      <c r="E37" s="36"/>
    </row>
    <row r="38" spans="1:5" x14ac:dyDescent="0.2">
      <c r="A38" s="141" t="s">
        <v>57</v>
      </c>
      <c r="B38" s="37">
        <v>12.7</v>
      </c>
      <c r="C38" s="38">
        <v>0</v>
      </c>
      <c r="D38" s="39">
        <f t="shared" si="0"/>
        <v>158.75</v>
      </c>
      <c r="E38" s="36"/>
    </row>
    <row r="39" spans="1:5" x14ac:dyDescent="0.2">
      <c r="A39" s="141" t="s">
        <v>58</v>
      </c>
      <c r="B39" s="37">
        <v>12.27</v>
      </c>
      <c r="C39" s="38">
        <v>0</v>
      </c>
      <c r="D39" s="39">
        <f t="shared" si="0"/>
        <v>153.375</v>
      </c>
      <c r="E39" s="36"/>
    </row>
    <row r="40" spans="1:5" x14ac:dyDescent="0.2">
      <c r="A40" s="141" t="s">
        <v>59</v>
      </c>
      <c r="B40" s="37">
        <v>13.61</v>
      </c>
      <c r="C40" s="38">
        <v>0</v>
      </c>
      <c r="D40" s="39">
        <f t="shared" si="0"/>
        <v>170.125</v>
      </c>
      <c r="E40" s="36"/>
    </row>
    <row r="41" spans="1:5" x14ac:dyDescent="0.2">
      <c r="A41" s="141" t="s">
        <v>60</v>
      </c>
      <c r="B41" s="37">
        <v>11.94</v>
      </c>
      <c r="C41" s="38">
        <v>0</v>
      </c>
      <c r="D41" s="39">
        <f t="shared" si="0"/>
        <v>149.25</v>
      </c>
      <c r="E41" s="36"/>
    </row>
    <row r="42" spans="1:5" x14ac:dyDescent="0.2">
      <c r="A42" s="141" t="s">
        <v>61</v>
      </c>
      <c r="B42" s="37">
        <v>12.96</v>
      </c>
      <c r="C42" s="38">
        <v>0</v>
      </c>
      <c r="D42" s="39">
        <f t="shared" si="0"/>
        <v>162</v>
      </c>
      <c r="E42" s="36"/>
    </row>
    <row r="43" spans="1:5" x14ac:dyDescent="0.2">
      <c r="A43" s="141" t="s">
        <v>62</v>
      </c>
      <c r="B43" s="37">
        <v>12.37</v>
      </c>
      <c r="C43" s="38">
        <v>0</v>
      </c>
      <c r="D43" s="39">
        <f t="shared" si="0"/>
        <v>154.625</v>
      </c>
      <c r="E43" s="36"/>
    </row>
    <row r="44" spans="1:5" x14ac:dyDescent="0.2">
      <c r="A44" s="141" t="s">
        <v>63</v>
      </c>
      <c r="B44" s="37">
        <v>13.84</v>
      </c>
      <c r="C44" s="38">
        <v>0</v>
      </c>
      <c r="D44" s="39">
        <f t="shared" si="0"/>
        <v>173</v>
      </c>
      <c r="E44" s="36"/>
    </row>
    <row r="45" spans="1:5" x14ac:dyDescent="0.2">
      <c r="A45" s="141" t="s">
        <v>64</v>
      </c>
      <c r="B45" s="37">
        <v>12.01</v>
      </c>
      <c r="C45" s="38">
        <v>0</v>
      </c>
      <c r="D45" s="39">
        <f t="shared" si="0"/>
        <v>150.125</v>
      </c>
      <c r="E45" s="36"/>
    </row>
    <row r="46" spans="1:5" x14ac:dyDescent="0.2">
      <c r="A46" s="141" t="s">
        <v>65</v>
      </c>
      <c r="B46" s="37">
        <v>12.72</v>
      </c>
      <c r="C46" s="38">
        <v>0</v>
      </c>
      <c r="D46" s="39">
        <f t="shared" si="0"/>
        <v>159</v>
      </c>
      <c r="E46" s="36"/>
    </row>
    <row r="47" spans="1:5" x14ac:dyDescent="0.2">
      <c r="A47" s="141" t="s">
        <v>66</v>
      </c>
      <c r="B47" s="37">
        <v>12.29</v>
      </c>
      <c r="C47" s="38">
        <v>0</v>
      </c>
      <c r="D47" s="39">
        <f t="shared" si="0"/>
        <v>153.625</v>
      </c>
      <c r="E47" s="36"/>
    </row>
    <row r="48" spans="1:5" x14ac:dyDescent="0.2">
      <c r="A48" s="141" t="s">
        <v>67</v>
      </c>
      <c r="B48" s="37">
        <v>13.63</v>
      </c>
      <c r="C48" s="38">
        <v>0</v>
      </c>
      <c r="D48" s="39">
        <f t="shared" si="0"/>
        <v>170.375</v>
      </c>
      <c r="E48" s="36"/>
    </row>
    <row r="49" spans="1:5" x14ac:dyDescent="0.2">
      <c r="A49" s="141" t="s">
        <v>68</v>
      </c>
      <c r="B49" s="37">
        <v>11.96</v>
      </c>
      <c r="C49" s="38">
        <v>0</v>
      </c>
      <c r="D49" s="39">
        <f t="shared" si="0"/>
        <v>149.5</v>
      </c>
      <c r="E49" s="36"/>
    </row>
    <row r="50" spans="1:5" x14ac:dyDescent="0.2">
      <c r="A50" s="141" t="s">
        <v>69</v>
      </c>
      <c r="B50" s="37">
        <v>12.98</v>
      </c>
      <c r="C50" s="38">
        <v>0</v>
      </c>
      <c r="D50" s="39">
        <f t="shared" si="0"/>
        <v>162.25</v>
      </c>
      <c r="E50" s="36"/>
    </row>
    <row r="51" spans="1:5" x14ac:dyDescent="0.2">
      <c r="A51" s="141" t="s">
        <v>70</v>
      </c>
      <c r="B51" s="37">
        <v>12.39</v>
      </c>
      <c r="C51" s="38">
        <v>0</v>
      </c>
      <c r="D51" s="39">
        <f t="shared" si="0"/>
        <v>154.875</v>
      </c>
      <c r="E51" s="36"/>
    </row>
    <row r="52" spans="1:5" x14ac:dyDescent="0.2">
      <c r="A52" s="141" t="s">
        <v>71</v>
      </c>
      <c r="B52" s="37">
        <v>13.86</v>
      </c>
      <c r="C52" s="38">
        <v>0</v>
      </c>
      <c r="D52" s="39">
        <f t="shared" si="0"/>
        <v>173.25</v>
      </c>
      <c r="E52" s="36"/>
    </row>
    <row r="53" spans="1:5" x14ac:dyDescent="0.2">
      <c r="A53" s="141" t="s">
        <v>72</v>
      </c>
      <c r="B53" s="37">
        <v>12.03</v>
      </c>
      <c r="C53" s="38">
        <v>0</v>
      </c>
      <c r="D53" s="39">
        <f t="shared" si="0"/>
        <v>150.375</v>
      </c>
      <c r="E53" s="36"/>
    </row>
    <row r="54" spans="1:5" x14ac:dyDescent="0.2">
      <c r="A54" s="141" t="s">
        <v>73</v>
      </c>
      <c r="B54" s="37">
        <v>12.74</v>
      </c>
      <c r="C54" s="38">
        <v>0</v>
      </c>
      <c r="D54" s="39">
        <f t="shared" si="0"/>
        <v>159.25</v>
      </c>
      <c r="E54" s="36"/>
    </row>
    <row r="55" spans="1:5" x14ac:dyDescent="0.2">
      <c r="A55" s="141" t="s">
        <v>74</v>
      </c>
      <c r="B55" s="37">
        <v>12.31</v>
      </c>
      <c r="C55" s="38">
        <v>0</v>
      </c>
      <c r="D55" s="39">
        <f t="shared" si="0"/>
        <v>153.875</v>
      </c>
      <c r="E55" s="36"/>
    </row>
    <row r="56" spans="1:5" x14ac:dyDescent="0.2">
      <c r="A56" s="141" t="s">
        <v>75</v>
      </c>
      <c r="B56" s="37">
        <v>13.65</v>
      </c>
      <c r="C56" s="38">
        <v>0</v>
      </c>
      <c r="D56" s="39">
        <f t="shared" si="0"/>
        <v>170.625</v>
      </c>
      <c r="E56" s="36"/>
    </row>
    <row r="57" spans="1:5" x14ac:dyDescent="0.2">
      <c r="A57" s="141" t="s">
        <v>76</v>
      </c>
      <c r="B57" s="37">
        <v>11.98</v>
      </c>
      <c r="C57" s="38">
        <v>0</v>
      </c>
      <c r="D57" s="39">
        <f t="shared" si="0"/>
        <v>149.75</v>
      </c>
      <c r="E57" s="36"/>
    </row>
    <row r="58" spans="1:5" x14ac:dyDescent="0.2">
      <c r="A58" s="141" t="s">
        <v>77</v>
      </c>
      <c r="B58" s="37">
        <v>13</v>
      </c>
      <c r="C58" s="38">
        <v>0</v>
      </c>
      <c r="D58" s="39">
        <f t="shared" si="0"/>
        <v>162.5</v>
      </c>
      <c r="E58" s="36"/>
    </row>
    <row r="59" spans="1:5" x14ac:dyDescent="0.2">
      <c r="A59" s="141" t="s">
        <v>78</v>
      </c>
      <c r="B59" s="37">
        <v>12.41</v>
      </c>
      <c r="C59" s="38">
        <v>0</v>
      </c>
      <c r="D59" s="39">
        <f t="shared" si="0"/>
        <v>155.125</v>
      </c>
      <c r="E59" s="36"/>
    </row>
    <row r="60" spans="1:5" x14ac:dyDescent="0.2">
      <c r="A60" s="141" t="s">
        <v>79</v>
      </c>
      <c r="B60" s="37">
        <v>13.88</v>
      </c>
      <c r="C60" s="38">
        <v>0</v>
      </c>
      <c r="D60" s="39">
        <f t="shared" si="0"/>
        <v>173.5</v>
      </c>
      <c r="E60" s="36"/>
    </row>
    <row r="61" spans="1:5" x14ac:dyDescent="0.2">
      <c r="A61" s="141" t="s">
        <v>80</v>
      </c>
      <c r="B61" s="37">
        <v>12.05</v>
      </c>
      <c r="C61" s="38">
        <v>0</v>
      </c>
      <c r="D61" s="39">
        <f t="shared" si="0"/>
        <v>150.625</v>
      </c>
      <c r="E61" s="36"/>
    </row>
    <row r="62" spans="1:5" x14ac:dyDescent="0.2">
      <c r="A62" s="141" t="s">
        <v>81</v>
      </c>
      <c r="B62" s="37">
        <v>12.76</v>
      </c>
      <c r="C62" s="38">
        <v>0</v>
      </c>
      <c r="D62" s="39">
        <f t="shared" si="0"/>
        <v>159.5</v>
      </c>
      <c r="E62" s="36"/>
    </row>
    <row r="63" spans="1:5" x14ac:dyDescent="0.2">
      <c r="A63" s="141" t="s">
        <v>82</v>
      </c>
      <c r="B63" s="37">
        <v>12.33</v>
      </c>
      <c r="C63" s="38">
        <v>0</v>
      </c>
      <c r="D63" s="39">
        <f t="shared" si="0"/>
        <v>154.125</v>
      </c>
      <c r="E63" s="36"/>
    </row>
    <row r="64" spans="1:5" x14ac:dyDescent="0.2">
      <c r="A64" s="142" t="s">
        <v>83</v>
      </c>
      <c r="B64" s="37">
        <v>13.67</v>
      </c>
      <c r="C64" s="38">
        <v>0</v>
      </c>
      <c r="D64" s="39">
        <f t="shared" si="0"/>
        <v>170.875</v>
      </c>
      <c r="E64" s="36"/>
    </row>
    <row r="65" spans="1:5" x14ac:dyDescent="0.2">
      <c r="A65" s="142" t="s">
        <v>84</v>
      </c>
      <c r="B65" s="37">
        <v>12</v>
      </c>
      <c r="C65" s="38">
        <v>0</v>
      </c>
      <c r="D65" s="39">
        <f t="shared" si="0"/>
        <v>150</v>
      </c>
      <c r="E65" s="36"/>
    </row>
    <row r="66" spans="1:5" ht="15" thickBot="1" x14ac:dyDescent="0.25">
      <c r="A66" s="143" t="s">
        <v>85</v>
      </c>
      <c r="B66" s="40">
        <v>13.02</v>
      </c>
      <c r="C66" s="41">
        <v>0</v>
      </c>
      <c r="D66" s="42">
        <f t="shared" si="0"/>
        <v>162.75</v>
      </c>
      <c r="E66" s="43"/>
    </row>
  </sheetData>
  <mergeCells count="19">
    <mergeCell ref="E7:E8"/>
    <mergeCell ref="A9:A10"/>
    <mergeCell ref="B9:B10"/>
    <mergeCell ref="A11:A12"/>
    <mergeCell ref="B11:B12"/>
    <mergeCell ref="E13:E66"/>
    <mergeCell ref="A5:A6"/>
    <mergeCell ref="B5:B6"/>
    <mergeCell ref="A7:A8"/>
    <mergeCell ref="B7:B8"/>
    <mergeCell ref="C7:C8"/>
    <mergeCell ref="D7:D8"/>
    <mergeCell ref="A1:E1"/>
    <mergeCell ref="A2:B2"/>
    <mergeCell ref="F2:G2"/>
    <mergeCell ref="A3:A4"/>
    <mergeCell ref="B3:B4"/>
    <mergeCell ref="F3:G3"/>
    <mergeCell ref="F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4C2BB-680B-47BF-B198-54DDEF2E72AC}">
  <sheetPr codeName="Sheet16">
    <tabColor rgb="FF00B0F0"/>
  </sheetPr>
  <dimension ref="A1:G66"/>
  <sheetViews>
    <sheetView workbookViewId="0">
      <selection activeCell="C11" sqref="C11"/>
    </sheetView>
  </sheetViews>
  <sheetFormatPr defaultRowHeight="14.25" x14ac:dyDescent="0.2"/>
  <cols>
    <col min="1" max="1" width="16.42578125" style="5" bestFit="1" customWidth="1"/>
    <col min="2" max="2" width="28.85546875" style="5" customWidth="1"/>
    <col min="3" max="3" width="20.42578125" style="5" customWidth="1"/>
    <col min="4" max="4" width="21.28515625" style="5" customWidth="1"/>
    <col min="5" max="5" width="14.28515625" style="5" bestFit="1" customWidth="1"/>
    <col min="6" max="6" width="19" style="5" bestFit="1" customWidth="1"/>
    <col min="7" max="7" width="18.5703125" style="5" customWidth="1"/>
    <col min="8" max="16384" width="9.140625" style="5"/>
  </cols>
  <sheetData>
    <row r="1" spans="1:7" ht="18.75" thickBot="1" x14ac:dyDescent="0.3">
      <c r="A1" s="52" t="s">
        <v>28</v>
      </c>
      <c r="B1" s="53"/>
      <c r="C1" s="53"/>
      <c r="D1" s="53"/>
      <c r="E1" s="54"/>
      <c r="F1" s="67"/>
      <c r="G1" s="67"/>
    </row>
    <row r="2" spans="1:7" ht="15" x14ac:dyDescent="0.2">
      <c r="A2" s="68" t="s">
        <v>9</v>
      </c>
      <c r="B2" s="69"/>
      <c r="C2" s="61" t="s">
        <v>29</v>
      </c>
      <c r="D2" s="61" t="s">
        <v>31</v>
      </c>
      <c r="E2" s="62"/>
      <c r="F2" s="55" t="s">
        <v>87</v>
      </c>
      <c r="G2" s="56"/>
    </row>
    <row r="3" spans="1:7" ht="15" x14ac:dyDescent="0.2">
      <c r="A3" s="57" t="s">
        <v>8</v>
      </c>
      <c r="B3" s="15" t="s">
        <v>144</v>
      </c>
      <c r="C3" s="16">
        <f>SUM(B14:B21)</f>
        <v>123.53999999999999</v>
      </c>
      <c r="D3" s="16">
        <f>SUM(B38:B59)</f>
        <v>339.12</v>
      </c>
      <c r="E3" s="63" t="s">
        <v>95</v>
      </c>
      <c r="F3" s="138">
        <v>0</v>
      </c>
      <c r="G3" s="139"/>
    </row>
    <row r="4" spans="1:7" ht="15" x14ac:dyDescent="0.2">
      <c r="A4" s="57"/>
      <c r="B4" s="15"/>
      <c r="C4" s="17">
        <v>1850</v>
      </c>
      <c r="D4" s="18">
        <v>1650</v>
      </c>
      <c r="E4" s="63" t="s">
        <v>97</v>
      </c>
      <c r="F4" s="64" t="s">
        <v>7</v>
      </c>
      <c r="G4" s="65"/>
    </row>
    <row r="5" spans="1:7" ht="15" x14ac:dyDescent="0.2">
      <c r="A5" s="57" t="s">
        <v>6</v>
      </c>
      <c r="B5" s="19" t="s">
        <v>153</v>
      </c>
      <c r="C5" s="20">
        <f>SUM(D14:D21)</f>
        <v>1822.2150000000001</v>
      </c>
      <c r="D5" s="18">
        <f>SUM(D60:D66)</f>
        <v>1608.0450000000001</v>
      </c>
      <c r="E5" s="63" t="s">
        <v>1</v>
      </c>
      <c r="F5" s="21" t="s">
        <v>96</v>
      </c>
      <c r="G5" s="145">
        <f>C3+C9+D9+D3</f>
        <v>817.95</v>
      </c>
    </row>
    <row r="6" spans="1:7" ht="15" x14ac:dyDescent="0.2">
      <c r="A6" s="57"/>
      <c r="B6" s="19"/>
      <c r="C6" s="23">
        <f>C4-C5</f>
        <v>27.784999999999854</v>
      </c>
      <c r="D6" s="18">
        <f>D4-D5</f>
        <v>41.954999999999927</v>
      </c>
      <c r="E6" s="63" t="s">
        <v>0</v>
      </c>
      <c r="F6" s="21" t="s">
        <v>98</v>
      </c>
      <c r="G6" s="22">
        <f>C4+C10+D4+D10</f>
        <v>12200</v>
      </c>
    </row>
    <row r="7" spans="1:7" ht="15" customHeight="1" x14ac:dyDescent="0.2">
      <c r="A7" s="57" t="s">
        <v>4</v>
      </c>
      <c r="B7" s="19" t="s">
        <v>171</v>
      </c>
      <c r="C7" s="58" t="s">
        <v>30</v>
      </c>
      <c r="D7" s="58" t="s">
        <v>32</v>
      </c>
      <c r="E7" s="66"/>
      <c r="F7" s="24" t="s">
        <v>5</v>
      </c>
      <c r="G7" s="22">
        <f>G5*B11</f>
        <v>12064.762500000001</v>
      </c>
    </row>
    <row r="8" spans="1:7" x14ac:dyDescent="0.2">
      <c r="A8" s="57"/>
      <c r="B8" s="19"/>
      <c r="C8" s="58"/>
      <c r="D8" s="58"/>
      <c r="E8" s="66"/>
      <c r="F8" s="25" t="s">
        <v>11</v>
      </c>
      <c r="G8" s="22">
        <f>(G7-G6)+F3</f>
        <v>-135.23749999999927</v>
      </c>
    </row>
    <row r="9" spans="1:7" ht="15.75" thickBot="1" x14ac:dyDescent="0.25">
      <c r="A9" s="57" t="s">
        <v>86</v>
      </c>
      <c r="B9" s="19" t="s">
        <v>176</v>
      </c>
      <c r="C9" s="26">
        <f>SUM(B22:B37)</f>
        <v>246.27000000000004</v>
      </c>
      <c r="D9" s="26">
        <f>SUM(B60:B66)</f>
        <v>109.02</v>
      </c>
      <c r="E9" s="63" t="s">
        <v>95</v>
      </c>
      <c r="F9" s="27" t="s">
        <v>3</v>
      </c>
      <c r="G9" s="28">
        <f>IFERROR(G8/B11, 0)</f>
        <v>-9.1686440677965617</v>
      </c>
    </row>
    <row r="10" spans="1:7" ht="15" x14ac:dyDescent="0.2">
      <c r="A10" s="57"/>
      <c r="B10" s="19"/>
      <c r="C10" s="29">
        <v>3650</v>
      </c>
      <c r="D10" s="18">
        <v>5050</v>
      </c>
      <c r="E10" s="63" t="s">
        <v>97</v>
      </c>
    </row>
    <row r="11" spans="1:7" ht="15" x14ac:dyDescent="0.2">
      <c r="A11" s="57" t="s">
        <v>2</v>
      </c>
      <c r="B11" s="30">
        <v>14.75</v>
      </c>
      <c r="C11" s="31">
        <f>SUM(D22:D37)</f>
        <v>3632.4825000000005</v>
      </c>
      <c r="D11" s="18">
        <f>SUM(D38:D59)</f>
        <v>5002.0199999999995</v>
      </c>
      <c r="E11" s="63" t="s">
        <v>1</v>
      </c>
    </row>
    <row r="12" spans="1:7" ht="15" x14ac:dyDescent="0.2">
      <c r="A12" s="57"/>
      <c r="B12" s="30"/>
      <c r="C12" s="18">
        <f>C10-C11</f>
        <v>17.517499999999472</v>
      </c>
      <c r="D12" s="18">
        <f>D10-D11</f>
        <v>47.980000000000473</v>
      </c>
      <c r="E12" s="63" t="s">
        <v>0</v>
      </c>
    </row>
    <row r="13" spans="1:7" ht="18.75" customHeight="1" thickBot="1" x14ac:dyDescent="0.25">
      <c r="A13" s="59" t="s">
        <v>17</v>
      </c>
      <c r="B13" s="60" t="s">
        <v>95</v>
      </c>
      <c r="C13" s="60" t="s">
        <v>87</v>
      </c>
      <c r="D13" s="60" t="s">
        <v>94</v>
      </c>
      <c r="E13" s="32"/>
    </row>
    <row r="14" spans="1:7" x14ac:dyDescent="0.2">
      <c r="A14" s="140" t="s">
        <v>33</v>
      </c>
      <c r="B14" s="33">
        <v>15.77</v>
      </c>
      <c r="C14" s="34">
        <v>0</v>
      </c>
      <c r="D14" s="35">
        <f t="shared" ref="D14:D66" si="0">B14*$B$11</f>
        <v>232.60749999999999</v>
      </c>
      <c r="E14" s="36"/>
    </row>
    <row r="15" spans="1:7" x14ac:dyDescent="0.2">
      <c r="A15" s="141" t="s">
        <v>34</v>
      </c>
      <c r="B15" s="37">
        <v>14.92</v>
      </c>
      <c r="C15" s="38">
        <v>0</v>
      </c>
      <c r="D15" s="39">
        <f t="shared" si="0"/>
        <v>220.07</v>
      </c>
      <c r="E15" s="36"/>
    </row>
    <row r="16" spans="1:7" x14ac:dyDescent="0.2">
      <c r="A16" s="141" t="s">
        <v>35</v>
      </c>
      <c r="B16" s="37">
        <v>16.88</v>
      </c>
      <c r="C16" s="38">
        <v>0</v>
      </c>
      <c r="D16" s="39">
        <f t="shared" si="0"/>
        <v>248.98</v>
      </c>
      <c r="E16" s="36"/>
    </row>
    <row r="17" spans="1:5" x14ac:dyDescent="0.2">
      <c r="A17" s="141" t="s">
        <v>36</v>
      </c>
      <c r="B17" s="37">
        <v>14.33</v>
      </c>
      <c r="C17" s="38">
        <v>0</v>
      </c>
      <c r="D17" s="39">
        <f t="shared" si="0"/>
        <v>211.36750000000001</v>
      </c>
      <c r="E17" s="36"/>
    </row>
    <row r="18" spans="1:5" x14ac:dyDescent="0.2">
      <c r="A18" s="141" t="s">
        <v>37</v>
      </c>
      <c r="B18" s="37">
        <v>15.66</v>
      </c>
      <c r="C18" s="38">
        <v>0</v>
      </c>
      <c r="D18" s="39">
        <f t="shared" si="0"/>
        <v>230.98500000000001</v>
      </c>
      <c r="E18" s="36"/>
    </row>
    <row r="19" spans="1:5" x14ac:dyDescent="0.2">
      <c r="A19" s="141" t="s">
        <v>38</v>
      </c>
      <c r="B19" s="37">
        <v>14.75</v>
      </c>
      <c r="C19" s="38">
        <v>0</v>
      </c>
      <c r="D19" s="39">
        <f t="shared" si="0"/>
        <v>217.5625</v>
      </c>
      <c r="E19" s="36"/>
    </row>
    <row r="20" spans="1:5" x14ac:dyDescent="0.2">
      <c r="A20" s="141" t="s">
        <v>39</v>
      </c>
      <c r="B20" s="37">
        <v>16.95</v>
      </c>
      <c r="C20" s="38">
        <v>0</v>
      </c>
      <c r="D20" s="39">
        <f t="shared" si="0"/>
        <v>250.01249999999999</v>
      </c>
      <c r="E20" s="36"/>
    </row>
    <row r="21" spans="1:5" x14ac:dyDescent="0.2">
      <c r="A21" s="141" t="s">
        <v>40</v>
      </c>
      <c r="B21" s="37">
        <v>14.28</v>
      </c>
      <c r="C21" s="38">
        <v>0</v>
      </c>
      <c r="D21" s="39">
        <f t="shared" si="0"/>
        <v>210.63</v>
      </c>
      <c r="E21" s="36"/>
    </row>
    <row r="22" spans="1:5" x14ac:dyDescent="0.2">
      <c r="A22" s="141" t="s">
        <v>41</v>
      </c>
      <c r="B22" s="37">
        <v>15.4</v>
      </c>
      <c r="C22" s="38">
        <v>0</v>
      </c>
      <c r="D22" s="39">
        <f t="shared" si="0"/>
        <v>227.15</v>
      </c>
      <c r="E22" s="36"/>
    </row>
    <row r="23" spans="1:5" x14ac:dyDescent="0.2">
      <c r="A23" s="141" t="s">
        <v>42</v>
      </c>
      <c r="B23" s="37">
        <v>14.81</v>
      </c>
      <c r="C23" s="38">
        <v>0</v>
      </c>
      <c r="D23" s="39">
        <f t="shared" si="0"/>
        <v>218.44750000000002</v>
      </c>
      <c r="E23" s="36"/>
    </row>
    <row r="24" spans="1:5" x14ac:dyDescent="0.2">
      <c r="A24" s="141" t="s">
        <v>43</v>
      </c>
      <c r="B24" s="37">
        <v>16.77</v>
      </c>
      <c r="C24" s="38">
        <v>0</v>
      </c>
      <c r="D24" s="39">
        <f t="shared" si="0"/>
        <v>247.35749999999999</v>
      </c>
      <c r="E24" s="36"/>
    </row>
    <row r="25" spans="1:5" x14ac:dyDescent="0.2">
      <c r="A25" s="141" t="s">
        <v>44</v>
      </c>
      <c r="B25" s="37">
        <v>14.35</v>
      </c>
      <c r="C25" s="38">
        <v>0</v>
      </c>
      <c r="D25" s="39">
        <f t="shared" si="0"/>
        <v>211.66249999999999</v>
      </c>
      <c r="E25" s="36"/>
    </row>
    <row r="26" spans="1:5" x14ac:dyDescent="0.2">
      <c r="A26" s="141" t="s">
        <v>45</v>
      </c>
      <c r="B26" s="37">
        <v>15.72</v>
      </c>
      <c r="C26" s="38">
        <v>0</v>
      </c>
      <c r="D26" s="39">
        <f t="shared" si="0"/>
        <v>231.87</v>
      </c>
      <c r="E26" s="36"/>
    </row>
    <row r="27" spans="1:5" x14ac:dyDescent="0.2">
      <c r="A27" s="141" t="s">
        <v>46</v>
      </c>
      <c r="B27" s="37">
        <v>14.69</v>
      </c>
      <c r="C27" s="38">
        <v>0</v>
      </c>
      <c r="D27" s="39">
        <f t="shared" si="0"/>
        <v>216.67749999999998</v>
      </c>
      <c r="E27" s="36"/>
    </row>
    <row r="28" spans="1:5" x14ac:dyDescent="0.2">
      <c r="A28" s="141" t="s">
        <v>47</v>
      </c>
      <c r="B28" s="37">
        <v>16.91</v>
      </c>
      <c r="C28" s="38">
        <v>0</v>
      </c>
      <c r="D28" s="39">
        <f t="shared" si="0"/>
        <v>249.42250000000001</v>
      </c>
      <c r="E28" s="36"/>
    </row>
    <row r="29" spans="1:5" x14ac:dyDescent="0.2">
      <c r="A29" s="141" t="s">
        <v>48</v>
      </c>
      <c r="B29" s="37">
        <v>14.41</v>
      </c>
      <c r="C29" s="38">
        <v>0</v>
      </c>
      <c r="D29" s="39">
        <f t="shared" si="0"/>
        <v>212.54750000000001</v>
      </c>
      <c r="E29" s="36"/>
    </row>
    <row r="30" spans="1:5" x14ac:dyDescent="0.2">
      <c r="A30" s="141" t="s">
        <v>49</v>
      </c>
      <c r="B30" s="37">
        <v>15.44</v>
      </c>
      <c r="C30" s="38">
        <v>0</v>
      </c>
      <c r="D30" s="39">
        <f t="shared" si="0"/>
        <v>227.73999999999998</v>
      </c>
      <c r="E30" s="36"/>
    </row>
    <row r="31" spans="1:5" x14ac:dyDescent="0.2">
      <c r="A31" s="141" t="s">
        <v>50</v>
      </c>
      <c r="B31" s="37">
        <v>14.84</v>
      </c>
      <c r="C31" s="38">
        <v>0</v>
      </c>
      <c r="D31" s="39">
        <f t="shared" si="0"/>
        <v>218.89</v>
      </c>
      <c r="E31" s="36"/>
    </row>
    <row r="32" spans="1:5" x14ac:dyDescent="0.2">
      <c r="A32" s="141" t="s">
        <v>51</v>
      </c>
      <c r="B32" s="37">
        <v>16.8</v>
      </c>
      <c r="C32" s="38">
        <v>0</v>
      </c>
      <c r="D32" s="39">
        <f t="shared" si="0"/>
        <v>247.8</v>
      </c>
      <c r="E32" s="36"/>
    </row>
    <row r="33" spans="1:5" x14ac:dyDescent="0.2">
      <c r="A33" s="141" t="s">
        <v>52</v>
      </c>
      <c r="B33" s="37">
        <v>14.37</v>
      </c>
      <c r="C33" s="38">
        <v>0</v>
      </c>
      <c r="D33" s="39">
        <f t="shared" si="0"/>
        <v>211.95749999999998</v>
      </c>
      <c r="E33" s="36"/>
    </row>
    <row r="34" spans="1:5" x14ac:dyDescent="0.2">
      <c r="A34" s="141" t="s">
        <v>53</v>
      </c>
      <c r="B34" s="37">
        <v>15.69</v>
      </c>
      <c r="C34" s="38">
        <v>0</v>
      </c>
      <c r="D34" s="39">
        <f t="shared" si="0"/>
        <v>231.42749999999998</v>
      </c>
      <c r="E34" s="36"/>
    </row>
    <row r="35" spans="1:5" x14ac:dyDescent="0.2">
      <c r="A35" s="141" t="s">
        <v>54</v>
      </c>
      <c r="B35" s="37">
        <v>14.71</v>
      </c>
      <c r="C35" s="38">
        <v>0</v>
      </c>
      <c r="D35" s="39">
        <f t="shared" si="0"/>
        <v>216.97250000000003</v>
      </c>
      <c r="E35" s="36"/>
    </row>
    <row r="36" spans="1:5" x14ac:dyDescent="0.2">
      <c r="A36" s="141" t="s">
        <v>55</v>
      </c>
      <c r="B36" s="37">
        <v>16.93</v>
      </c>
      <c r="C36" s="38">
        <v>0</v>
      </c>
      <c r="D36" s="39">
        <f t="shared" si="0"/>
        <v>249.7175</v>
      </c>
      <c r="E36" s="36"/>
    </row>
    <row r="37" spans="1:5" x14ac:dyDescent="0.2">
      <c r="A37" s="141" t="s">
        <v>56</v>
      </c>
      <c r="B37" s="37">
        <v>14.43</v>
      </c>
      <c r="C37" s="38">
        <v>0</v>
      </c>
      <c r="D37" s="39">
        <f t="shared" si="0"/>
        <v>212.8425</v>
      </c>
      <c r="E37" s="36"/>
    </row>
    <row r="38" spans="1:5" x14ac:dyDescent="0.2">
      <c r="A38" s="141" t="s">
        <v>57</v>
      </c>
      <c r="B38" s="37">
        <v>15.47</v>
      </c>
      <c r="C38" s="38">
        <v>0</v>
      </c>
      <c r="D38" s="39">
        <f t="shared" si="0"/>
        <v>228.1825</v>
      </c>
      <c r="E38" s="36"/>
    </row>
    <row r="39" spans="1:5" x14ac:dyDescent="0.2">
      <c r="A39" s="141" t="s">
        <v>58</v>
      </c>
      <c r="B39" s="37">
        <v>14.86</v>
      </c>
      <c r="C39" s="38">
        <v>0</v>
      </c>
      <c r="D39" s="39">
        <f t="shared" si="0"/>
        <v>219.185</v>
      </c>
      <c r="E39" s="36"/>
    </row>
    <row r="40" spans="1:5" x14ac:dyDescent="0.2">
      <c r="A40" s="141" t="s">
        <v>59</v>
      </c>
      <c r="B40" s="37">
        <v>16.82</v>
      </c>
      <c r="C40" s="38">
        <v>0</v>
      </c>
      <c r="D40" s="39">
        <f t="shared" si="0"/>
        <v>248.095</v>
      </c>
      <c r="E40" s="36"/>
    </row>
    <row r="41" spans="1:5" x14ac:dyDescent="0.2">
      <c r="A41" s="141" t="s">
        <v>60</v>
      </c>
      <c r="B41" s="37">
        <v>14.39</v>
      </c>
      <c r="C41" s="38">
        <v>0</v>
      </c>
      <c r="D41" s="39">
        <f t="shared" si="0"/>
        <v>212.2525</v>
      </c>
      <c r="E41" s="36"/>
    </row>
    <row r="42" spans="1:5" x14ac:dyDescent="0.2">
      <c r="A42" s="141" t="s">
        <v>61</v>
      </c>
      <c r="B42" s="37">
        <v>15.71</v>
      </c>
      <c r="C42" s="38">
        <v>0</v>
      </c>
      <c r="D42" s="39">
        <f t="shared" si="0"/>
        <v>231.72250000000003</v>
      </c>
      <c r="E42" s="36"/>
    </row>
    <row r="43" spans="1:5" x14ac:dyDescent="0.2">
      <c r="A43" s="141" t="s">
        <v>62</v>
      </c>
      <c r="B43" s="37">
        <v>14.73</v>
      </c>
      <c r="C43" s="38">
        <v>0</v>
      </c>
      <c r="D43" s="39">
        <f t="shared" si="0"/>
        <v>217.26750000000001</v>
      </c>
      <c r="E43" s="36"/>
    </row>
    <row r="44" spans="1:5" x14ac:dyDescent="0.2">
      <c r="A44" s="141" t="s">
        <v>63</v>
      </c>
      <c r="B44" s="37">
        <v>16.940000000000001</v>
      </c>
      <c r="C44" s="38">
        <v>0</v>
      </c>
      <c r="D44" s="39">
        <f t="shared" si="0"/>
        <v>249.86500000000001</v>
      </c>
      <c r="E44" s="36"/>
    </row>
    <row r="45" spans="1:5" x14ac:dyDescent="0.2">
      <c r="A45" s="141" t="s">
        <v>64</v>
      </c>
      <c r="B45" s="37">
        <v>14.45</v>
      </c>
      <c r="C45" s="38">
        <v>0</v>
      </c>
      <c r="D45" s="39">
        <f t="shared" si="0"/>
        <v>213.13749999999999</v>
      </c>
      <c r="E45" s="36"/>
    </row>
    <row r="46" spans="1:5" x14ac:dyDescent="0.2">
      <c r="A46" s="141" t="s">
        <v>65</v>
      </c>
      <c r="B46" s="37">
        <v>15.49</v>
      </c>
      <c r="C46" s="38">
        <v>0</v>
      </c>
      <c r="D46" s="39">
        <f t="shared" si="0"/>
        <v>228.47749999999999</v>
      </c>
      <c r="E46" s="36"/>
    </row>
    <row r="47" spans="1:5" x14ac:dyDescent="0.2">
      <c r="A47" s="141" t="s">
        <v>66</v>
      </c>
      <c r="B47" s="37">
        <v>14.88</v>
      </c>
      <c r="C47" s="38">
        <v>0</v>
      </c>
      <c r="D47" s="39">
        <f t="shared" si="0"/>
        <v>219.48000000000002</v>
      </c>
      <c r="E47" s="36"/>
    </row>
    <row r="48" spans="1:5" x14ac:dyDescent="0.2">
      <c r="A48" s="141" t="s">
        <v>67</v>
      </c>
      <c r="B48" s="37">
        <v>16.84</v>
      </c>
      <c r="C48" s="38">
        <v>0</v>
      </c>
      <c r="D48" s="39">
        <f t="shared" si="0"/>
        <v>248.39</v>
      </c>
      <c r="E48" s="36"/>
    </row>
    <row r="49" spans="1:5" x14ac:dyDescent="0.2">
      <c r="A49" s="141" t="s">
        <v>68</v>
      </c>
      <c r="B49" s="37">
        <v>14.41</v>
      </c>
      <c r="C49" s="38">
        <v>0</v>
      </c>
      <c r="D49" s="39">
        <f t="shared" si="0"/>
        <v>212.54750000000001</v>
      </c>
      <c r="E49" s="36"/>
    </row>
    <row r="50" spans="1:5" x14ac:dyDescent="0.2">
      <c r="A50" s="141" t="s">
        <v>69</v>
      </c>
      <c r="B50" s="37">
        <v>15.73</v>
      </c>
      <c r="C50" s="38">
        <v>0</v>
      </c>
      <c r="D50" s="39">
        <f t="shared" si="0"/>
        <v>232.01750000000001</v>
      </c>
      <c r="E50" s="36"/>
    </row>
    <row r="51" spans="1:5" x14ac:dyDescent="0.2">
      <c r="A51" s="141" t="s">
        <v>70</v>
      </c>
      <c r="B51" s="37">
        <v>14.75</v>
      </c>
      <c r="C51" s="38">
        <v>0</v>
      </c>
      <c r="D51" s="39">
        <f t="shared" si="0"/>
        <v>217.5625</v>
      </c>
      <c r="E51" s="36"/>
    </row>
    <row r="52" spans="1:5" x14ac:dyDescent="0.2">
      <c r="A52" s="141" t="s">
        <v>71</v>
      </c>
      <c r="B52" s="37">
        <v>16.96</v>
      </c>
      <c r="C52" s="38">
        <v>0</v>
      </c>
      <c r="D52" s="39">
        <f t="shared" si="0"/>
        <v>250.16000000000003</v>
      </c>
      <c r="E52" s="36"/>
    </row>
    <row r="53" spans="1:5" x14ac:dyDescent="0.2">
      <c r="A53" s="141" t="s">
        <v>72</v>
      </c>
      <c r="B53" s="37">
        <v>14.47</v>
      </c>
      <c r="C53" s="38">
        <v>0</v>
      </c>
      <c r="D53" s="39">
        <f t="shared" si="0"/>
        <v>213.4325</v>
      </c>
      <c r="E53" s="36"/>
    </row>
    <row r="54" spans="1:5" x14ac:dyDescent="0.2">
      <c r="A54" s="141" t="s">
        <v>73</v>
      </c>
      <c r="B54" s="37">
        <v>15.51</v>
      </c>
      <c r="C54" s="38">
        <v>0</v>
      </c>
      <c r="D54" s="39">
        <f t="shared" si="0"/>
        <v>228.77250000000001</v>
      </c>
      <c r="E54" s="36"/>
    </row>
    <row r="55" spans="1:5" x14ac:dyDescent="0.2">
      <c r="A55" s="141" t="s">
        <v>74</v>
      </c>
      <c r="B55" s="37">
        <v>14.9</v>
      </c>
      <c r="C55" s="38">
        <v>0</v>
      </c>
      <c r="D55" s="39">
        <f t="shared" si="0"/>
        <v>219.77500000000001</v>
      </c>
      <c r="E55" s="36"/>
    </row>
    <row r="56" spans="1:5" x14ac:dyDescent="0.2">
      <c r="A56" s="141" t="s">
        <v>75</v>
      </c>
      <c r="B56" s="37">
        <v>16.86</v>
      </c>
      <c r="C56" s="38">
        <v>0</v>
      </c>
      <c r="D56" s="39">
        <f t="shared" si="0"/>
        <v>248.685</v>
      </c>
      <c r="E56" s="36"/>
    </row>
    <row r="57" spans="1:5" x14ac:dyDescent="0.2">
      <c r="A57" s="141" t="s">
        <v>76</v>
      </c>
      <c r="B57" s="37">
        <v>14.43</v>
      </c>
      <c r="C57" s="38">
        <v>0</v>
      </c>
      <c r="D57" s="39">
        <f t="shared" si="0"/>
        <v>212.8425</v>
      </c>
      <c r="E57" s="36"/>
    </row>
    <row r="58" spans="1:5" x14ac:dyDescent="0.2">
      <c r="A58" s="141" t="s">
        <v>77</v>
      </c>
      <c r="B58" s="37">
        <v>15.75</v>
      </c>
      <c r="C58" s="38">
        <v>0</v>
      </c>
      <c r="D58" s="39">
        <f t="shared" si="0"/>
        <v>232.3125</v>
      </c>
      <c r="E58" s="36"/>
    </row>
    <row r="59" spans="1:5" x14ac:dyDescent="0.2">
      <c r="A59" s="141" t="s">
        <v>78</v>
      </c>
      <c r="B59" s="37">
        <v>14.77</v>
      </c>
      <c r="C59" s="38">
        <v>0</v>
      </c>
      <c r="D59" s="39">
        <f t="shared" si="0"/>
        <v>217.85749999999999</v>
      </c>
      <c r="E59" s="36"/>
    </row>
    <row r="60" spans="1:5" x14ac:dyDescent="0.2">
      <c r="A60" s="141" t="s">
        <v>79</v>
      </c>
      <c r="B60" s="37">
        <v>16.98</v>
      </c>
      <c r="C60" s="38">
        <v>0</v>
      </c>
      <c r="D60" s="39">
        <f t="shared" si="0"/>
        <v>250.45500000000001</v>
      </c>
      <c r="E60" s="36"/>
    </row>
    <row r="61" spans="1:5" x14ac:dyDescent="0.2">
      <c r="A61" s="141" t="s">
        <v>80</v>
      </c>
      <c r="B61" s="37">
        <v>14.49</v>
      </c>
      <c r="C61" s="38">
        <v>0</v>
      </c>
      <c r="D61" s="39">
        <f t="shared" si="0"/>
        <v>213.72749999999999</v>
      </c>
      <c r="E61" s="36"/>
    </row>
    <row r="62" spans="1:5" x14ac:dyDescent="0.2">
      <c r="A62" s="141" t="s">
        <v>81</v>
      </c>
      <c r="B62" s="37">
        <v>15.53</v>
      </c>
      <c r="C62" s="38">
        <v>0</v>
      </c>
      <c r="D62" s="39">
        <f t="shared" si="0"/>
        <v>229.0675</v>
      </c>
      <c r="E62" s="36"/>
    </row>
    <row r="63" spans="1:5" x14ac:dyDescent="0.2">
      <c r="A63" s="141" t="s">
        <v>82</v>
      </c>
      <c r="B63" s="37">
        <v>14.92</v>
      </c>
      <c r="C63" s="38">
        <v>0</v>
      </c>
      <c r="D63" s="39">
        <f t="shared" si="0"/>
        <v>220.07</v>
      </c>
      <c r="E63" s="36"/>
    </row>
    <row r="64" spans="1:5" x14ac:dyDescent="0.2">
      <c r="A64" s="142" t="s">
        <v>83</v>
      </c>
      <c r="B64" s="37">
        <v>16.88</v>
      </c>
      <c r="C64" s="38">
        <v>0</v>
      </c>
      <c r="D64" s="39">
        <f t="shared" si="0"/>
        <v>248.98</v>
      </c>
      <c r="E64" s="36"/>
    </row>
    <row r="65" spans="1:5" x14ac:dyDescent="0.2">
      <c r="A65" s="142" t="s">
        <v>84</v>
      </c>
      <c r="B65" s="37">
        <v>14.45</v>
      </c>
      <c r="C65" s="38">
        <v>0</v>
      </c>
      <c r="D65" s="39">
        <f t="shared" si="0"/>
        <v>213.13749999999999</v>
      </c>
      <c r="E65" s="36"/>
    </row>
    <row r="66" spans="1:5" ht="15" thickBot="1" x14ac:dyDescent="0.25">
      <c r="A66" s="143" t="s">
        <v>85</v>
      </c>
      <c r="B66" s="40">
        <v>15.77</v>
      </c>
      <c r="C66" s="41">
        <v>0</v>
      </c>
      <c r="D66" s="42">
        <f t="shared" si="0"/>
        <v>232.60749999999999</v>
      </c>
      <c r="E66" s="43"/>
    </row>
  </sheetData>
  <mergeCells count="19">
    <mergeCell ref="E7:E8"/>
    <mergeCell ref="A9:A10"/>
    <mergeCell ref="B9:B10"/>
    <mergeCell ref="A11:A12"/>
    <mergeCell ref="B11:B12"/>
    <mergeCell ref="E13:E66"/>
    <mergeCell ref="A5:A6"/>
    <mergeCell ref="B5:B6"/>
    <mergeCell ref="A7:A8"/>
    <mergeCell ref="B7:B8"/>
    <mergeCell ref="C7:C8"/>
    <mergeCell ref="D7:D8"/>
    <mergeCell ref="A1:E1"/>
    <mergeCell ref="A2:B2"/>
    <mergeCell ref="F2:G2"/>
    <mergeCell ref="A3:A4"/>
    <mergeCell ref="B3:B4"/>
    <mergeCell ref="F3:G3"/>
    <mergeCell ref="F4:G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505A4-37D8-420D-868D-4D874E22FFB8}">
  <sheetPr codeName="Sheet18">
    <tabColor rgb="FF00B0F0"/>
  </sheetPr>
  <dimension ref="A1:G66"/>
  <sheetViews>
    <sheetView workbookViewId="0">
      <selection activeCell="C11" sqref="C11"/>
    </sheetView>
  </sheetViews>
  <sheetFormatPr defaultRowHeight="14.25" x14ac:dyDescent="0.2"/>
  <cols>
    <col min="1" max="1" width="16.42578125" style="5" bestFit="1" customWidth="1"/>
    <col min="2" max="2" width="28.85546875" style="5" customWidth="1"/>
    <col min="3" max="3" width="20.42578125" style="5" customWidth="1"/>
    <col min="4" max="4" width="21.28515625" style="5" customWidth="1"/>
    <col min="5" max="5" width="14.28515625" style="5" bestFit="1" customWidth="1"/>
    <col min="6" max="6" width="19" style="5" bestFit="1" customWidth="1"/>
    <col min="7" max="7" width="18.5703125" style="5" customWidth="1"/>
    <col min="8" max="16384" width="9.140625" style="5"/>
  </cols>
  <sheetData>
    <row r="1" spans="1:7" ht="18.75" thickBot="1" x14ac:dyDescent="0.3">
      <c r="A1" s="52" t="s">
        <v>28</v>
      </c>
      <c r="B1" s="53"/>
      <c r="C1" s="53"/>
      <c r="D1" s="53"/>
      <c r="E1" s="54"/>
      <c r="F1" s="67"/>
      <c r="G1" s="67"/>
    </row>
    <row r="2" spans="1:7" ht="15" x14ac:dyDescent="0.2">
      <c r="A2" s="68" t="s">
        <v>9</v>
      </c>
      <c r="B2" s="69"/>
      <c r="C2" s="61" t="s">
        <v>29</v>
      </c>
      <c r="D2" s="61" t="s">
        <v>31</v>
      </c>
      <c r="E2" s="62"/>
      <c r="F2" s="55" t="s">
        <v>87</v>
      </c>
      <c r="G2" s="56"/>
    </row>
    <row r="3" spans="1:7" ht="15" x14ac:dyDescent="0.2">
      <c r="A3" s="57" t="s">
        <v>8</v>
      </c>
      <c r="B3" s="15" t="s">
        <v>145</v>
      </c>
      <c r="C3" s="16">
        <f>SUM(B14:B21)</f>
        <v>190.32000000000002</v>
      </c>
      <c r="D3" s="16">
        <f>SUM(B38:B59)</f>
        <v>522.05999999999995</v>
      </c>
      <c r="E3" s="63" t="s">
        <v>95</v>
      </c>
      <c r="F3" s="138">
        <v>0</v>
      </c>
      <c r="G3" s="139"/>
    </row>
    <row r="4" spans="1:7" ht="15" x14ac:dyDescent="0.2">
      <c r="A4" s="57"/>
      <c r="B4" s="15"/>
      <c r="C4" s="17">
        <v>3300</v>
      </c>
      <c r="D4" s="18">
        <v>2900</v>
      </c>
      <c r="E4" s="63" t="s">
        <v>97</v>
      </c>
      <c r="F4" s="64" t="s">
        <v>7</v>
      </c>
      <c r="G4" s="65"/>
    </row>
    <row r="5" spans="1:7" ht="15" x14ac:dyDescent="0.2">
      <c r="A5" s="57" t="s">
        <v>6</v>
      </c>
      <c r="B5" s="19" t="s">
        <v>154</v>
      </c>
      <c r="C5" s="20">
        <f>SUM(D14:D21)</f>
        <v>3283.0199999999995</v>
      </c>
      <c r="D5" s="18">
        <f>SUM(D60:D66)</f>
        <v>2882.4749999999999</v>
      </c>
      <c r="E5" s="63" t="s">
        <v>1</v>
      </c>
      <c r="F5" s="21" t="s">
        <v>96</v>
      </c>
      <c r="G5" s="145">
        <f>C3+C9+D9+D3</f>
        <v>1258.6599999999999</v>
      </c>
    </row>
    <row r="6" spans="1:7" ht="15" x14ac:dyDescent="0.2">
      <c r="A6" s="57"/>
      <c r="B6" s="19"/>
      <c r="C6" s="23">
        <f>C4-C5</f>
        <v>16.980000000000473</v>
      </c>
      <c r="D6" s="18">
        <f>D4-D5</f>
        <v>17.525000000000091</v>
      </c>
      <c r="E6" s="63" t="s">
        <v>0</v>
      </c>
      <c r="F6" s="21" t="s">
        <v>98</v>
      </c>
      <c r="G6" s="22">
        <f>C4+C10+D4+D10</f>
        <v>21800</v>
      </c>
    </row>
    <row r="7" spans="1:7" ht="15" customHeight="1" x14ac:dyDescent="0.2">
      <c r="A7" s="57" t="s">
        <v>4</v>
      </c>
      <c r="B7" s="19" t="s">
        <v>172</v>
      </c>
      <c r="C7" s="58" t="s">
        <v>30</v>
      </c>
      <c r="D7" s="58" t="s">
        <v>32</v>
      </c>
      <c r="E7" s="66"/>
      <c r="F7" s="24" t="s">
        <v>5</v>
      </c>
      <c r="G7" s="22">
        <f>G5*B11</f>
        <v>21711.884999999998</v>
      </c>
    </row>
    <row r="8" spans="1:7" x14ac:dyDescent="0.2">
      <c r="A8" s="57"/>
      <c r="B8" s="19"/>
      <c r="C8" s="58"/>
      <c r="D8" s="58"/>
      <c r="E8" s="66"/>
      <c r="F8" s="25" t="s">
        <v>11</v>
      </c>
      <c r="G8" s="22">
        <f>(G7-G6)+F3</f>
        <v>-88.115000000001601</v>
      </c>
    </row>
    <row r="9" spans="1:7" ht="15.75" thickBot="1" x14ac:dyDescent="0.25">
      <c r="A9" s="57" t="s">
        <v>86</v>
      </c>
      <c r="B9" s="19" t="s">
        <v>12</v>
      </c>
      <c r="C9" s="26">
        <f>SUM(B22:B37)</f>
        <v>379.18</v>
      </c>
      <c r="D9" s="26">
        <f>SUM(B60:B66)</f>
        <v>167.1</v>
      </c>
      <c r="E9" s="63" t="s">
        <v>95</v>
      </c>
      <c r="F9" s="27" t="s">
        <v>3</v>
      </c>
      <c r="G9" s="28">
        <f>IFERROR(G8/B11, 0)</f>
        <v>-5.1081159420290785</v>
      </c>
    </row>
    <row r="10" spans="1:7" ht="15" x14ac:dyDescent="0.2">
      <c r="A10" s="57"/>
      <c r="B10" s="19"/>
      <c r="C10" s="29">
        <v>6550</v>
      </c>
      <c r="D10" s="18">
        <v>9050</v>
      </c>
      <c r="E10" s="63" t="s">
        <v>97</v>
      </c>
    </row>
    <row r="11" spans="1:7" ht="15" x14ac:dyDescent="0.2">
      <c r="A11" s="57" t="s">
        <v>2</v>
      </c>
      <c r="B11" s="30">
        <v>17.25</v>
      </c>
      <c r="C11" s="31">
        <f>SUM(D22:D37)</f>
        <v>6540.8550000000005</v>
      </c>
      <c r="D11" s="18">
        <f>SUM(D38:D59)</f>
        <v>9005.534999999998</v>
      </c>
      <c r="E11" s="63" t="s">
        <v>1</v>
      </c>
    </row>
    <row r="12" spans="1:7" ht="15" x14ac:dyDescent="0.2">
      <c r="A12" s="57"/>
      <c r="B12" s="30"/>
      <c r="C12" s="18">
        <f>C10-C11</f>
        <v>9.1449999999995271</v>
      </c>
      <c r="D12" s="18">
        <f>D10-D11</f>
        <v>44.465000000001965</v>
      </c>
      <c r="E12" s="63" t="s">
        <v>0</v>
      </c>
    </row>
    <row r="13" spans="1:7" ht="18.75" customHeight="1" thickBot="1" x14ac:dyDescent="0.25">
      <c r="A13" s="59" t="s">
        <v>17</v>
      </c>
      <c r="B13" s="60" t="s">
        <v>95</v>
      </c>
      <c r="C13" s="60" t="s">
        <v>87</v>
      </c>
      <c r="D13" s="60" t="s">
        <v>94</v>
      </c>
      <c r="E13" s="32"/>
    </row>
    <row r="14" spans="1:7" x14ac:dyDescent="0.2">
      <c r="A14" s="140" t="s">
        <v>33</v>
      </c>
      <c r="B14" s="33">
        <v>24.12</v>
      </c>
      <c r="C14" s="34">
        <v>0</v>
      </c>
      <c r="D14" s="35">
        <f t="shared" ref="D14:D66" si="0">B14*$B$11</f>
        <v>416.07</v>
      </c>
      <c r="E14" s="36"/>
    </row>
    <row r="15" spans="1:7" x14ac:dyDescent="0.2">
      <c r="A15" s="141" t="s">
        <v>34</v>
      </c>
      <c r="B15" s="37">
        <v>23.55</v>
      </c>
      <c r="C15" s="38">
        <v>0</v>
      </c>
      <c r="D15" s="39">
        <f t="shared" si="0"/>
        <v>406.23750000000001</v>
      </c>
      <c r="E15" s="36"/>
    </row>
    <row r="16" spans="1:7" x14ac:dyDescent="0.2">
      <c r="A16" s="141" t="s">
        <v>35</v>
      </c>
      <c r="B16" s="37">
        <v>24.78</v>
      </c>
      <c r="C16" s="38">
        <v>0</v>
      </c>
      <c r="D16" s="39">
        <f t="shared" si="0"/>
        <v>427.45500000000004</v>
      </c>
      <c r="E16" s="36"/>
    </row>
    <row r="17" spans="1:5" x14ac:dyDescent="0.2">
      <c r="A17" s="141" t="s">
        <v>36</v>
      </c>
      <c r="B17" s="37">
        <v>22.91</v>
      </c>
      <c r="C17" s="38">
        <v>0</v>
      </c>
      <c r="D17" s="39">
        <f t="shared" si="0"/>
        <v>395.19749999999999</v>
      </c>
      <c r="E17" s="36"/>
    </row>
    <row r="18" spans="1:5" x14ac:dyDescent="0.2">
      <c r="A18" s="141" t="s">
        <v>37</v>
      </c>
      <c r="B18" s="37">
        <v>24.2</v>
      </c>
      <c r="C18" s="38">
        <v>0</v>
      </c>
      <c r="D18" s="39">
        <f t="shared" si="0"/>
        <v>417.45</v>
      </c>
      <c r="E18" s="36"/>
    </row>
    <row r="19" spans="1:5" x14ac:dyDescent="0.2">
      <c r="A19" s="141" t="s">
        <v>38</v>
      </c>
      <c r="B19" s="37">
        <v>23.1</v>
      </c>
      <c r="C19" s="38">
        <v>0</v>
      </c>
      <c r="D19" s="39">
        <f t="shared" si="0"/>
        <v>398.47500000000002</v>
      </c>
      <c r="E19" s="36"/>
    </row>
    <row r="20" spans="1:5" x14ac:dyDescent="0.2">
      <c r="A20" s="141" t="s">
        <v>39</v>
      </c>
      <c r="B20" s="37">
        <v>24.89</v>
      </c>
      <c r="C20" s="38">
        <v>0</v>
      </c>
      <c r="D20" s="39">
        <f t="shared" si="0"/>
        <v>429.35250000000002</v>
      </c>
      <c r="E20" s="36"/>
    </row>
    <row r="21" spans="1:5" x14ac:dyDescent="0.2">
      <c r="A21" s="141" t="s">
        <v>40</v>
      </c>
      <c r="B21" s="37">
        <v>22.77</v>
      </c>
      <c r="C21" s="38">
        <v>0</v>
      </c>
      <c r="D21" s="39">
        <f t="shared" si="0"/>
        <v>392.78249999999997</v>
      </c>
      <c r="E21" s="36"/>
    </row>
    <row r="22" spans="1:5" x14ac:dyDescent="0.2">
      <c r="A22" s="141" t="s">
        <v>41</v>
      </c>
      <c r="B22" s="37">
        <v>23.94</v>
      </c>
      <c r="C22" s="38">
        <v>0</v>
      </c>
      <c r="D22" s="39">
        <f t="shared" si="0"/>
        <v>412.96500000000003</v>
      </c>
      <c r="E22" s="36"/>
    </row>
    <row r="23" spans="1:5" x14ac:dyDescent="0.2">
      <c r="A23" s="141" t="s">
        <v>42</v>
      </c>
      <c r="B23" s="37">
        <v>23.21</v>
      </c>
      <c r="C23" s="38">
        <v>0</v>
      </c>
      <c r="D23" s="39">
        <f t="shared" si="0"/>
        <v>400.3725</v>
      </c>
      <c r="E23" s="36"/>
    </row>
    <row r="24" spans="1:5" x14ac:dyDescent="0.2">
      <c r="A24" s="141" t="s">
        <v>43</v>
      </c>
      <c r="B24" s="37">
        <v>24.66</v>
      </c>
      <c r="C24" s="38">
        <v>0</v>
      </c>
      <c r="D24" s="39">
        <f t="shared" si="0"/>
        <v>425.38499999999999</v>
      </c>
      <c r="E24" s="36"/>
    </row>
    <row r="25" spans="1:5" x14ac:dyDescent="0.2">
      <c r="A25" s="141" t="s">
        <v>44</v>
      </c>
      <c r="B25" s="37">
        <v>22.88</v>
      </c>
      <c r="C25" s="38">
        <v>0</v>
      </c>
      <c r="D25" s="39">
        <f t="shared" si="0"/>
        <v>394.68</v>
      </c>
      <c r="E25" s="36"/>
    </row>
    <row r="26" spans="1:5" x14ac:dyDescent="0.2">
      <c r="A26" s="141" t="s">
        <v>45</v>
      </c>
      <c r="B26" s="37">
        <v>24.11</v>
      </c>
      <c r="C26" s="38">
        <v>0</v>
      </c>
      <c r="D26" s="39">
        <f t="shared" si="0"/>
        <v>415.89749999999998</v>
      </c>
      <c r="E26" s="36"/>
    </row>
    <row r="27" spans="1:5" x14ac:dyDescent="0.2">
      <c r="A27" s="141" t="s">
        <v>46</v>
      </c>
      <c r="B27" s="37">
        <v>23.08</v>
      </c>
      <c r="C27" s="38">
        <v>0</v>
      </c>
      <c r="D27" s="39">
        <f t="shared" si="0"/>
        <v>398.13</v>
      </c>
      <c r="E27" s="36"/>
    </row>
    <row r="28" spans="1:5" x14ac:dyDescent="0.2">
      <c r="A28" s="141" t="s">
        <v>47</v>
      </c>
      <c r="B28" s="37">
        <v>24.83</v>
      </c>
      <c r="C28" s="38">
        <v>0</v>
      </c>
      <c r="D28" s="39">
        <f t="shared" si="0"/>
        <v>428.3175</v>
      </c>
      <c r="E28" s="36"/>
    </row>
    <row r="29" spans="1:5" x14ac:dyDescent="0.2">
      <c r="A29" s="141" t="s">
        <v>48</v>
      </c>
      <c r="B29" s="37">
        <v>22.81</v>
      </c>
      <c r="C29" s="38">
        <v>0</v>
      </c>
      <c r="D29" s="39">
        <f t="shared" si="0"/>
        <v>393.47249999999997</v>
      </c>
      <c r="E29" s="36"/>
    </row>
    <row r="30" spans="1:5" x14ac:dyDescent="0.2">
      <c r="A30" s="141" t="s">
        <v>49</v>
      </c>
      <c r="B30" s="37">
        <v>23.97</v>
      </c>
      <c r="C30" s="38">
        <v>0</v>
      </c>
      <c r="D30" s="39">
        <f t="shared" si="0"/>
        <v>413.48249999999996</v>
      </c>
      <c r="E30" s="36"/>
    </row>
    <row r="31" spans="1:5" x14ac:dyDescent="0.2">
      <c r="A31" s="141" t="s">
        <v>50</v>
      </c>
      <c r="B31" s="37">
        <v>23.26</v>
      </c>
      <c r="C31" s="38">
        <v>0</v>
      </c>
      <c r="D31" s="39">
        <f t="shared" si="0"/>
        <v>401.23500000000001</v>
      </c>
      <c r="E31" s="36"/>
    </row>
    <row r="32" spans="1:5" x14ac:dyDescent="0.2">
      <c r="A32" s="141" t="s">
        <v>51</v>
      </c>
      <c r="B32" s="37">
        <v>24.69</v>
      </c>
      <c r="C32" s="38">
        <v>0</v>
      </c>
      <c r="D32" s="39">
        <f t="shared" si="0"/>
        <v>425.90250000000003</v>
      </c>
      <c r="E32" s="36"/>
    </row>
    <row r="33" spans="1:5" x14ac:dyDescent="0.2">
      <c r="A33" s="141" t="s">
        <v>52</v>
      </c>
      <c r="B33" s="37">
        <v>22.85</v>
      </c>
      <c r="C33" s="38">
        <v>0</v>
      </c>
      <c r="D33" s="39">
        <f t="shared" si="0"/>
        <v>394.16250000000002</v>
      </c>
      <c r="E33" s="36"/>
    </row>
    <row r="34" spans="1:5" x14ac:dyDescent="0.2">
      <c r="A34" s="141" t="s">
        <v>53</v>
      </c>
      <c r="B34" s="37">
        <v>24.14</v>
      </c>
      <c r="C34" s="38">
        <v>0</v>
      </c>
      <c r="D34" s="39">
        <f t="shared" si="0"/>
        <v>416.41500000000002</v>
      </c>
      <c r="E34" s="36"/>
    </row>
    <row r="35" spans="1:5" x14ac:dyDescent="0.2">
      <c r="A35" s="141" t="s">
        <v>54</v>
      </c>
      <c r="B35" s="37">
        <v>23.06</v>
      </c>
      <c r="C35" s="38">
        <v>0</v>
      </c>
      <c r="D35" s="39">
        <f t="shared" si="0"/>
        <v>397.78499999999997</v>
      </c>
      <c r="E35" s="36"/>
    </row>
    <row r="36" spans="1:5" x14ac:dyDescent="0.2">
      <c r="A36" s="141" t="s">
        <v>55</v>
      </c>
      <c r="B36" s="37">
        <v>24.86</v>
      </c>
      <c r="C36" s="38">
        <v>0</v>
      </c>
      <c r="D36" s="39">
        <f t="shared" si="0"/>
        <v>428.83499999999998</v>
      </c>
      <c r="E36" s="36"/>
    </row>
    <row r="37" spans="1:5" x14ac:dyDescent="0.2">
      <c r="A37" s="141" t="s">
        <v>56</v>
      </c>
      <c r="B37" s="37">
        <v>22.83</v>
      </c>
      <c r="C37" s="38">
        <v>0</v>
      </c>
      <c r="D37" s="39">
        <f t="shared" si="0"/>
        <v>393.8175</v>
      </c>
      <c r="E37" s="36"/>
    </row>
    <row r="38" spans="1:5" x14ac:dyDescent="0.2">
      <c r="A38" s="141" t="s">
        <v>57</v>
      </c>
      <c r="B38" s="37">
        <v>23.99</v>
      </c>
      <c r="C38" s="38">
        <v>0</v>
      </c>
      <c r="D38" s="39">
        <f t="shared" si="0"/>
        <v>413.82749999999999</v>
      </c>
      <c r="E38" s="36"/>
    </row>
    <row r="39" spans="1:5" x14ac:dyDescent="0.2">
      <c r="A39" s="141" t="s">
        <v>58</v>
      </c>
      <c r="B39" s="37">
        <v>23.28</v>
      </c>
      <c r="C39" s="38">
        <v>0</v>
      </c>
      <c r="D39" s="39">
        <f t="shared" si="0"/>
        <v>401.58000000000004</v>
      </c>
      <c r="E39" s="36"/>
    </row>
    <row r="40" spans="1:5" x14ac:dyDescent="0.2">
      <c r="A40" s="141" t="s">
        <v>59</v>
      </c>
      <c r="B40" s="37">
        <v>24.71</v>
      </c>
      <c r="C40" s="38">
        <v>0</v>
      </c>
      <c r="D40" s="39">
        <f t="shared" si="0"/>
        <v>426.2475</v>
      </c>
      <c r="E40" s="36"/>
    </row>
    <row r="41" spans="1:5" x14ac:dyDescent="0.2">
      <c r="A41" s="141" t="s">
        <v>60</v>
      </c>
      <c r="B41" s="37">
        <v>22.87</v>
      </c>
      <c r="C41" s="38">
        <v>0</v>
      </c>
      <c r="D41" s="39">
        <f t="shared" si="0"/>
        <v>394.50749999999999</v>
      </c>
      <c r="E41" s="36"/>
    </row>
    <row r="42" spans="1:5" x14ac:dyDescent="0.2">
      <c r="A42" s="141" t="s">
        <v>61</v>
      </c>
      <c r="B42" s="37">
        <v>24.16</v>
      </c>
      <c r="C42" s="38">
        <v>0</v>
      </c>
      <c r="D42" s="39">
        <f t="shared" si="0"/>
        <v>416.76</v>
      </c>
      <c r="E42" s="36"/>
    </row>
    <row r="43" spans="1:5" x14ac:dyDescent="0.2">
      <c r="A43" s="141" t="s">
        <v>62</v>
      </c>
      <c r="B43" s="37">
        <v>23.07</v>
      </c>
      <c r="C43" s="38">
        <v>0</v>
      </c>
      <c r="D43" s="39">
        <f t="shared" si="0"/>
        <v>397.95749999999998</v>
      </c>
      <c r="E43" s="36"/>
    </row>
    <row r="44" spans="1:5" x14ac:dyDescent="0.2">
      <c r="A44" s="141" t="s">
        <v>63</v>
      </c>
      <c r="B44" s="37">
        <v>24.88</v>
      </c>
      <c r="C44" s="38">
        <v>0</v>
      </c>
      <c r="D44" s="39">
        <f t="shared" si="0"/>
        <v>429.18</v>
      </c>
      <c r="E44" s="36"/>
    </row>
    <row r="45" spans="1:5" x14ac:dyDescent="0.2">
      <c r="A45" s="141" t="s">
        <v>64</v>
      </c>
      <c r="B45" s="37">
        <v>22.84</v>
      </c>
      <c r="C45" s="38">
        <v>0</v>
      </c>
      <c r="D45" s="39">
        <f t="shared" si="0"/>
        <v>393.99</v>
      </c>
      <c r="E45" s="36"/>
    </row>
    <row r="46" spans="1:5" x14ac:dyDescent="0.2">
      <c r="A46" s="141" t="s">
        <v>65</v>
      </c>
      <c r="B46" s="37">
        <v>24.01</v>
      </c>
      <c r="C46" s="38">
        <v>0</v>
      </c>
      <c r="D46" s="39">
        <f t="shared" si="0"/>
        <v>414.17250000000001</v>
      </c>
      <c r="E46" s="36"/>
    </row>
    <row r="47" spans="1:5" x14ac:dyDescent="0.2">
      <c r="A47" s="141" t="s">
        <v>66</v>
      </c>
      <c r="B47" s="37">
        <v>23.29</v>
      </c>
      <c r="C47" s="38">
        <v>0</v>
      </c>
      <c r="D47" s="39">
        <f t="shared" si="0"/>
        <v>401.7525</v>
      </c>
      <c r="E47" s="36"/>
    </row>
    <row r="48" spans="1:5" x14ac:dyDescent="0.2">
      <c r="A48" s="141" t="s">
        <v>67</v>
      </c>
      <c r="B48" s="37">
        <v>24.73</v>
      </c>
      <c r="C48" s="38">
        <v>0</v>
      </c>
      <c r="D48" s="39">
        <f t="shared" si="0"/>
        <v>426.59250000000003</v>
      </c>
      <c r="E48" s="36"/>
    </row>
    <row r="49" spans="1:5" x14ac:dyDescent="0.2">
      <c r="A49" s="141" t="s">
        <v>68</v>
      </c>
      <c r="B49" s="37">
        <v>22.89</v>
      </c>
      <c r="C49" s="38">
        <v>0</v>
      </c>
      <c r="D49" s="39">
        <f t="shared" si="0"/>
        <v>394.85250000000002</v>
      </c>
      <c r="E49" s="36"/>
    </row>
    <row r="50" spans="1:5" x14ac:dyDescent="0.2">
      <c r="A50" s="141" t="s">
        <v>69</v>
      </c>
      <c r="B50" s="37">
        <v>24.18</v>
      </c>
      <c r="C50" s="38">
        <v>0</v>
      </c>
      <c r="D50" s="39">
        <f t="shared" si="0"/>
        <v>417.10500000000002</v>
      </c>
      <c r="E50" s="36"/>
    </row>
    <row r="51" spans="1:5" x14ac:dyDescent="0.2">
      <c r="A51" s="141" t="s">
        <v>70</v>
      </c>
      <c r="B51" s="37">
        <v>23.09</v>
      </c>
      <c r="C51" s="38">
        <v>0</v>
      </c>
      <c r="D51" s="39">
        <f t="shared" si="0"/>
        <v>398.30250000000001</v>
      </c>
      <c r="E51" s="36"/>
    </row>
    <row r="52" spans="1:5" x14ac:dyDescent="0.2">
      <c r="A52" s="141" t="s">
        <v>71</v>
      </c>
      <c r="B52" s="37">
        <v>24.9</v>
      </c>
      <c r="C52" s="38">
        <v>0</v>
      </c>
      <c r="D52" s="39">
        <f t="shared" si="0"/>
        <v>429.52499999999998</v>
      </c>
      <c r="E52" s="36"/>
    </row>
    <row r="53" spans="1:5" x14ac:dyDescent="0.2">
      <c r="A53" s="141" t="s">
        <v>72</v>
      </c>
      <c r="B53" s="37">
        <v>22.86</v>
      </c>
      <c r="C53" s="38">
        <v>0</v>
      </c>
      <c r="D53" s="39">
        <f t="shared" si="0"/>
        <v>394.33499999999998</v>
      </c>
      <c r="E53" s="36"/>
    </row>
    <row r="54" spans="1:5" x14ac:dyDescent="0.2">
      <c r="A54" s="141" t="s">
        <v>73</v>
      </c>
      <c r="B54" s="37">
        <v>24.03</v>
      </c>
      <c r="C54" s="38">
        <v>0</v>
      </c>
      <c r="D54" s="39">
        <f t="shared" si="0"/>
        <v>414.51750000000004</v>
      </c>
      <c r="E54" s="36"/>
    </row>
    <row r="55" spans="1:5" x14ac:dyDescent="0.2">
      <c r="A55" s="141" t="s">
        <v>74</v>
      </c>
      <c r="B55" s="37">
        <v>23.31</v>
      </c>
      <c r="C55" s="38">
        <v>0</v>
      </c>
      <c r="D55" s="39">
        <f t="shared" si="0"/>
        <v>402.09749999999997</v>
      </c>
      <c r="E55" s="36"/>
    </row>
    <row r="56" spans="1:5" x14ac:dyDescent="0.2">
      <c r="A56" s="141" t="s">
        <v>75</v>
      </c>
      <c r="B56" s="37">
        <v>24.75</v>
      </c>
      <c r="C56" s="38">
        <v>0</v>
      </c>
      <c r="D56" s="39">
        <f t="shared" si="0"/>
        <v>426.9375</v>
      </c>
      <c r="E56" s="36"/>
    </row>
    <row r="57" spans="1:5" x14ac:dyDescent="0.2">
      <c r="A57" s="141" t="s">
        <v>76</v>
      </c>
      <c r="B57" s="37">
        <v>22.91</v>
      </c>
      <c r="C57" s="38">
        <v>0</v>
      </c>
      <c r="D57" s="39">
        <f t="shared" si="0"/>
        <v>395.19749999999999</v>
      </c>
      <c r="E57" s="36"/>
    </row>
    <row r="58" spans="1:5" x14ac:dyDescent="0.2">
      <c r="A58" s="141" t="s">
        <v>77</v>
      </c>
      <c r="B58" s="37">
        <v>24.2</v>
      </c>
      <c r="C58" s="38">
        <v>0</v>
      </c>
      <c r="D58" s="39">
        <f t="shared" si="0"/>
        <v>417.45</v>
      </c>
      <c r="E58" s="36"/>
    </row>
    <row r="59" spans="1:5" x14ac:dyDescent="0.2">
      <c r="A59" s="141" t="s">
        <v>78</v>
      </c>
      <c r="B59" s="37">
        <v>23.11</v>
      </c>
      <c r="C59" s="38">
        <v>0</v>
      </c>
      <c r="D59" s="39">
        <f t="shared" si="0"/>
        <v>398.64749999999998</v>
      </c>
      <c r="E59" s="36"/>
    </row>
    <row r="60" spans="1:5" x14ac:dyDescent="0.2">
      <c r="A60" s="141" t="s">
        <v>79</v>
      </c>
      <c r="B60" s="37">
        <v>24.92</v>
      </c>
      <c r="C60" s="38">
        <v>0</v>
      </c>
      <c r="D60" s="39">
        <f t="shared" si="0"/>
        <v>429.87</v>
      </c>
      <c r="E60" s="36"/>
    </row>
    <row r="61" spans="1:5" x14ac:dyDescent="0.2">
      <c r="A61" s="141" t="s">
        <v>80</v>
      </c>
      <c r="B61" s="37">
        <v>22.88</v>
      </c>
      <c r="C61" s="38">
        <v>0</v>
      </c>
      <c r="D61" s="39">
        <f t="shared" si="0"/>
        <v>394.68</v>
      </c>
      <c r="E61" s="36"/>
    </row>
    <row r="62" spans="1:5" x14ac:dyDescent="0.2">
      <c r="A62" s="141" t="s">
        <v>81</v>
      </c>
      <c r="B62" s="37">
        <v>24.05</v>
      </c>
      <c r="C62" s="38">
        <v>0</v>
      </c>
      <c r="D62" s="39">
        <f t="shared" si="0"/>
        <v>414.86250000000001</v>
      </c>
      <c r="E62" s="36"/>
    </row>
    <row r="63" spans="1:5" x14ac:dyDescent="0.2">
      <c r="A63" s="141" t="s">
        <v>82</v>
      </c>
      <c r="B63" s="37">
        <v>23.33</v>
      </c>
      <c r="C63" s="38">
        <v>0</v>
      </c>
      <c r="D63" s="39">
        <f t="shared" si="0"/>
        <v>402.4425</v>
      </c>
      <c r="E63" s="36"/>
    </row>
    <row r="64" spans="1:5" x14ac:dyDescent="0.2">
      <c r="A64" s="142" t="s">
        <v>83</v>
      </c>
      <c r="B64" s="37">
        <v>24.77</v>
      </c>
      <c r="C64" s="38">
        <v>0</v>
      </c>
      <c r="D64" s="39">
        <f t="shared" si="0"/>
        <v>427.28249999999997</v>
      </c>
      <c r="E64" s="36"/>
    </row>
    <row r="65" spans="1:5" x14ac:dyDescent="0.2">
      <c r="A65" s="142" t="s">
        <v>84</v>
      </c>
      <c r="B65" s="37">
        <v>22.93</v>
      </c>
      <c r="C65" s="38">
        <v>0</v>
      </c>
      <c r="D65" s="39">
        <f t="shared" si="0"/>
        <v>395.54250000000002</v>
      </c>
      <c r="E65" s="36"/>
    </row>
    <row r="66" spans="1:5" ht="15" thickBot="1" x14ac:dyDescent="0.25">
      <c r="A66" s="143" t="s">
        <v>85</v>
      </c>
      <c r="B66" s="40">
        <v>24.22</v>
      </c>
      <c r="C66" s="41">
        <v>0</v>
      </c>
      <c r="D66" s="42">
        <f t="shared" si="0"/>
        <v>417.79499999999996</v>
      </c>
      <c r="E66" s="43"/>
    </row>
  </sheetData>
  <mergeCells count="19">
    <mergeCell ref="E7:E8"/>
    <mergeCell ref="A9:A10"/>
    <mergeCell ref="B9:B10"/>
    <mergeCell ref="A11:A12"/>
    <mergeCell ref="B11:B12"/>
    <mergeCell ref="E13:E66"/>
    <mergeCell ref="A5:A6"/>
    <mergeCell ref="B5:B6"/>
    <mergeCell ref="A7:A8"/>
    <mergeCell ref="B7:B8"/>
    <mergeCell ref="C7:C8"/>
    <mergeCell ref="D7:D8"/>
    <mergeCell ref="A1:E1"/>
    <mergeCell ref="A2:B2"/>
    <mergeCell ref="F2:G2"/>
    <mergeCell ref="A3:A4"/>
    <mergeCell ref="B3:B4"/>
    <mergeCell ref="F3:G3"/>
    <mergeCell ref="F4:G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05CDD-FB07-48CE-996A-867E85CDD6E6}">
  <sheetPr codeName="Sheet19">
    <tabColor rgb="FF00B0F0"/>
  </sheetPr>
  <dimension ref="A1:G66"/>
  <sheetViews>
    <sheetView workbookViewId="0">
      <selection activeCell="C11" sqref="C11"/>
    </sheetView>
  </sheetViews>
  <sheetFormatPr defaultRowHeight="14.25" x14ac:dyDescent="0.2"/>
  <cols>
    <col min="1" max="1" width="16.42578125" style="5" bestFit="1" customWidth="1"/>
    <col min="2" max="2" width="28.85546875" style="5" customWidth="1"/>
    <col min="3" max="3" width="20.42578125" style="5" customWidth="1"/>
    <col min="4" max="4" width="21.28515625" style="5" customWidth="1"/>
    <col min="5" max="5" width="14.28515625" style="5" bestFit="1" customWidth="1"/>
    <col min="6" max="6" width="19" style="5" bestFit="1" customWidth="1"/>
    <col min="7" max="7" width="18.5703125" style="5" customWidth="1"/>
    <col min="8" max="16384" width="9.140625" style="5"/>
  </cols>
  <sheetData>
    <row r="1" spans="1:7" ht="18.75" thickBot="1" x14ac:dyDescent="0.3">
      <c r="A1" s="52" t="s">
        <v>28</v>
      </c>
      <c r="B1" s="53"/>
      <c r="C1" s="53"/>
      <c r="D1" s="53"/>
      <c r="E1" s="54"/>
      <c r="F1" s="67"/>
      <c r="G1" s="67"/>
    </row>
    <row r="2" spans="1:7" ht="15" x14ac:dyDescent="0.2">
      <c r="A2" s="68" t="s">
        <v>9</v>
      </c>
      <c r="B2" s="69"/>
      <c r="C2" s="61" t="s">
        <v>29</v>
      </c>
      <c r="D2" s="61" t="s">
        <v>31</v>
      </c>
      <c r="E2" s="62"/>
      <c r="F2" s="55" t="s">
        <v>87</v>
      </c>
      <c r="G2" s="56"/>
    </row>
    <row r="3" spans="1:7" ht="15" x14ac:dyDescent="0.2">
      <c r="A3" s="57" t="s">
        <v>8</v>
      </c>
      <c r="B3" s="15" t="s">
        <v>146</v>
      </c>
      <c r="C3" s="16">
        <f>SUM(B14:B21)</f>
        <v>145.13999999999999</v>
      </c>
      <c r="D3" s="16">
        <f>SUM(B38:B59)</f>
        <v>397.59000000000003</v>
      </c>
      <c r="E3" s="63" t="s">
        <v>95</v>
      </c>
      <c r="F3" s="138">
        <v>0</v>
      </c>
      <c r="G3" s="139"/>
    </row>
    <row r="4" spans="1:7" ht="15" x14ac:dyDescent="0.2">
      <c r="A4" s="57"/>
      <c r="B4" s="15"/>
      <c r="C4" s="17">
        <v>2150</v>
      </c>
      <c r="D4" s="18">
        <v>1900</v>
      </c>
      <c r="E4" s="63" t="s">
        <v>97</v>
      </c>
      <c r="F4" s="64" t="s">
        <v>7</v>
      </c>
      <c r="G4" s="65"/>
    </row>
    <row r="5" spans="1:7" ht="15" x14ac:dyDescent="0.2">
      <c r="A5" s="57" t="s">
        <v>6</v>
      </c>
      <c r="B5" s="19" t="s">
        <v>155</v>
      </c>
      <c r="C5" s="20">
        <f>SUM(D14:D21)</f>
        <v>2140.8150000000001</v>
      </c>
      <c r="D5" s="18">
        <f>SUM(D60:D66)</f>
        <v>1880.1824999999999</v>
      </c>
      <c r="E5" s="63" t="s">
        <v>1</v>
      </c>
      <c r="F5" s="21" t="s">
        <v>96</v>
      </c>
      <c r="G5" s="145">
        <f>C3+C9+D9+D3</f>
        <v>958.66</v>
      </c>
    </row>
    <row r="6" spans="1:7" ht="15" x14ac:dyDescent="0.2">
      <c r="A6" s="57"/>
      <c r="B6" s="19"/>
      <c r="C6" s="23">
        <f>C4-C5</f>
        <v>9.1849999999999454</v>
      </c>
      <c r="D6" s="18">
        <f>D4-D5</f>
        <v>19.817500000000109</v>
      </c>
      <c r="E6" s="63" t="s">
        <v>0</v>
      </c>
      <c r="F6" s="21" t="s">
        <v>98</v>
      </c>
      <c r="G6" s="22">
        <f>C4+C10+D4+D10</f>
        <v>14250</v>
      </c>
    </row>
    <row r="7" spans="1:7" ht="15" customHeight="1" x14ac:dyDescent="0.2">
      <c r="A7" s="57" t="s">
        <v>4</v>
      </c>
      <c r="B7" s="19" t="s">
        <v>173</v>
      </c>
      <c r="C7" s="58" t="s">
        <v>30</v>
      </c>
      <c r="D7" s="58" t="s">
        <v>32</v>
      </c>
      <c r="E7" s="66"/>
      <c r="F7" s="24" t="s">
        <v>5</v>
      </c>
      <c r="G7" s="22">
        <f>G5*B11</f>
        <v>14140.234999999999</v>
      </c>
    </row>
    <row r="8" spans="1:7" x14ac:dyDescent="0.2">
      <c r="A8" s="57"/>
      <c r="B8" s="19"/>
      <c r="C8" s="58"/>
      <c r="D8" s="58"/>
      <c r="E8" s="66"/>
      <c r="F8" s="25" t="s">
        <v>11</v>
      </c>
      <c r="G8" s="22">
        <f>(G7-G6)+F3</f>
        <v>-109.76500000000124</v>
      </c>
    </row>
    <row r="9" spans="1:7" ht="15.75" thickBot="1" x14ac:dyDescent="0.25">
      <c r="A9" s="57" t="s">
        <v>86</v>
      </c>
      <c r="B9" s="19" t="s">
        <v>177</v>
      </c>
      <c r="C9" s="26">
        <f>SUM(B22:B37)</f>
        <v>288.45999999999992</v>
      </c>
      <c r="D9" s="26">
        <f>SUM(B60:B66)</f>
        <v>127.47000000000001</v>
      </c>
      <c r="E9" s="63" t="s">
        <v>95</v>
      </c>
      <c r="F9" s="27" t="s">
        <v>3</v>
      </c>
      <c r="G9" s="28">
        <f>IFERROR(G8/B11, 0)</f>
        <v>-7.4416949152543213</v>
      </c>
    </row>
    <row r="10" spans="1:7" ht="15" x14ac:dyDescent="0.2">
      <c r="A10" s="57"/>
      <c r="B10" s="19"/>
      <c r="C10" s="29">
        <v>4300</v>
      </c>
      <c r="D10" s="18">
        <v>5900</v>
      </c>
      <c r="E10" s="63" t="s">
        <v>97</v>
      </c>
    </row>
    <row r="11" spans="1:7" ht="15" x14ac:dyDescent="0.2">
      <c r="A11" s="57" t="s">
        <v>2</v>
      </c>
      <c r="B11" s="30">
        <v>14.75</v>
      </c>
      <c r="C11" s="31">
        <f>SUM(D22:D37)</f>
        <v>4254.7849999999999</v>
      </c>
      <c r="D11" s="18">
        <f>SUM(D38:D59)</f>
        <v>5864.4525000000003</v>
      </c>
      <c r="E11" s="63" t="s">
        <v>1</v>
      </c>
    </row>
    <row r="12" spans="1:7" ht="15" x14ac:dyDescent="0.2">
      <c r="A12" s="57"/>
      <c r="B12" s="30"/>
      <c r="C12" s="18">
        <f>C10-C11</f>
        <v>45.215000000000146</v>
      </c>
      <c r="D12" s="18">
        <f>D10-D11</f>
        <v>35.547499999999673</v>
      </c>
      <c r="E12" s="63" t="s">
        <v>0</v>
      </c>
    </row>
    <row r="13" spans="1:7" ht="18.75" customHeight="1" thickBot="1" x14ac:dyDescent="0.25">
      <c r="A13" s="59" t="s">
        <v>17</v>
      </c>
      <c r="B13" s="60" t="s">
        <v>95</v>
      </c>
      <c r="C13" s="60" t="s">
        <v>87</v>
      </c>
      <c r="D13" s="60" t="s">
        <v>94</v>
      </c>
      <c r="E13" s="32"/>
    </row>
    <row r="14" spans="1:7" x14ac:dyDescent="0.2">
      <c r="A14" s="140" t="s">
        <v>33</v>
      </c>
      <c r="B14" s="33">
        <v>18.64</v>
      </c>
      <c r="C14" s="34">
        <v>0</v>
      </c>
      <c r="D14" s="35">
        <f t="shared" ref="D14:D66" si="0">B14*$B$11</f>
        <v>274.94</v>
      </c>
      <c r="E14" s="36"/>
    </row>
    <row r="15" spans="1:7" x14ac:dyDescent="0.2">
      <c r="A15" s="141" t="s">
        <v>34</v>
      </c>
      <c r="B15" s="37">
        <v>17.829999999999998</v>
      </c>
      <c r="C15" s="38">
        <v>0</v>
      </c>
      <c r="D15" s="39">
        <f t="shared" si="0"/>
        <v>262.99249999999995</v>
      </c>
      <c r="E15" s="36"/>
    </row>
    <row r="16" spans="1:7" x14ac:dyDescent="0.2">
      <c r="A16" s="141" t="s">
        <v>35</v>
      </c>
      <c r="B16" s="37">
        <v>19.22</v>
      </c>
      <c r="C16" s="38">
        <v>0</v>
      </c>
      <c r="D16" s="39">
        <f t="shared" si="0"/>
        <v>283.495</v>
      </c>
      <c r="E16" s="36"/>
    </row>
    <row r="17" spans="1:5" x14ac:dyDescent="0.2">
      <c r="A17" s="141" t="s">
        <v>36</v>
      </c>
      <c r="B17" s="37">
        <v>17.100000000000001</v>
      </c>
      <c r="C17" s="38">
        <v>0</v>
      </c>
      <c r="D17" s="39">
        <f t="shared" si="0"/>
        <v>252.22500000000002</v>
      </c>
      <c r="E17" s="36"/>
    </row>
    <row r="18" spans="1:5" x14ac:dyDescent="0.2">
      <c r="A18" s="141" t="s">
        <v>37</v>
      </c>
      <c r="B18" s="37">
        <v>18.52</v>
      </c>
      <c r="C18" s="38">
        <v>0</v>
      </c>
      <c r="D18" s="39">
        <f t="shared" si="0"/>
        <v>273.17</v>
      </c>
      <c r="E18" s="36"/>
    </row>
    <row r="19" spans="1:5" x14ac:dyDescent="0.2">
      <c r="A19" s="141" t="s">
        <v>38</v>
      </c>
      <c r="B19" s="37">
        <v>17.440000000000001</v>
      </c>
      <c r="C19" s="38">
        <v>0</v>
      </c>
      <c r="D19" s="39">
        <f t="shared" si="0"/>
        <v>257.24</v>
      </c>
      <c r="E19" s="36"/>
    </row>
    <row r="20" spans="1:5" x14ac:dyDescent="0.2">
      <c r="A20" s="141" t="s">
        <v>39</v>
      </c>
      <c r="B20" s="37">
        <v>19.47</v>
      </c>
      <c r="C20" s="38">
        <v>0</v>
      </c>
      <c r="D20" s="39">
        <f t="shared" si="0"/>
        <v>287.1825</v>
      </c>
      <c r="E20" s="36"/>
    </row>
    <row r="21" spans="1:5" x14ac:dyDescent="0.2">
      <c r="A21" s="141" t="s">
        <v>40</v>
      </c>
      <c r="B21" s="37">
        <v>16.920000000000002</v>
      </c>
      <c r="C21" s="38">
        <v>0</v>
      </c>
      <c r="D21" s="39">
        <f t="shared" si="0"/>
        <v>249.57000000000002</v>
      </c>
      <c r="E21" s="36"/>
    </row>
    <row r="22" spans="1:5" x14ac:dyDescent="0.2">
      <c r="A22" s="141" t="s">
        <v>41</v>
      </c>
      <c r="B22" s="37">
        <v>18.260000000000002</v>
      </c>
      <c r="C22" s="38">
        <v>0</v>
      </c>
      <c r="D22" s="39">
        <f t="shared" si="0"/>
        <v>269.33500000000004</v>
      </c>
      <c r="E22" s="36"/>
    </row>
    <row r="23" spans="1:5" x14ac:dyDescent="0.2">
      <c r="A23" s="141" t="s">
        <v>42</v>
      </c>
      <c r="B23" s="37">
        <v>17.600000000000001</v>
      </c>
      <c r="C23" s="38">
        <v>0</v>
      </c>
      <c r="D23" s="39">
        <f t="shared" si="0"/>
        <v>259.60000000000002</v>
      </c>
      <c r="E23" s="36"/>
    </row>
    <row r="24" spans="1:5" x14ac:dyDescent="0.2">
      <c r="A24" s="141" t="s">
        <v>43</v>
      </c>
      <c r="B24" s="37">
        <v>19.079999999999998</v>
      </c>
      <c r="C24" s="38">
        <v>0</v>
      </c>
      <c r="D24" s="39">
        <f t="shared" si="0"/>
        <v>281.42999999999995</v>
      </c>
      <c r="E24" s="36"/>
    </row>
    <row r="25" spans="1:5" x14ac:dyDescent="0.2">
      <c r="A25" s="141" t="s">
        <v>44</v>
      </c>
      <c r="B25" s="37">
        <v>17.03</v>
      </c>
      <c r="C25" s="38">
        <v>0</v>
      </c>
      <c r="D25" s="39">
        <f t="shared" si="0"/>
        <v>251.19250000000002</v>
      </c>
      <c r="E25" s="36"/>
    </row>
    <row r="26" spans="1:5" x14ac:dyDescent="0.2">
      <c r="A26" s="141" t="s">
        <v>45</v>
      </c>
      <c r="B26" s="37">
        <v>18.47</v>
      </c>
      <c r="C26" s="38">
        <v>0</v>
      </c>
      <c r="D26" s="39">
        <f t="shared" si="0"/>
        <v>272.4325</v>
      </c>
      <c r="E26" s="36"/>
    </row>
    <row r="27" spans="1:5" x14ac:dyDescent="0.2">
      <c r="A27" s="141" t="s">
        <v>46</v>
      </c>
      <c r="B27" s="37">
        <v>17.38</v>
      </c>
      <c r="C27" s="38">
        <v>0</v>
      </c>
      <c r="D27" s="39">
        <f t="shared" si="0"/>
        <v>256.35499999999996</v>
      </c>
      <c r="E27" s="36"/>
    </row>
    <row r="28" spans="1:5" x14ac:dyDescent="0.2">
      <c r="A28" s="141" t="s">
        <v>47</v>
      </c>
      <c r="B28" s="37">
        <v>19.329999999999998</v>
      </c>
      <c r="C28" s="38">
        <v>0</v>
      </c>
      <c r="D28" s="39">
        <f t="shared" si="0"/>
        <v>285.11749999999995</v>
      </c>
      <c r="E28" s="36"/>
    </row>
    <row r="29" spans="1:5" x14ac:dyDescent="0.2">
      <c r="A29" s="141" t="s">
        <v>48</v>
      </c>
      <c r="B29" s="37">
        <v>16.95</v>
      </c>
      <c r="C29" s="38">
        <v>0</v>
      </c>
      <c r="D29" s="39">
        <f t="shared" si="0"/>
        <v>250.01249999999999</v>
      </c>
      <c r="E29" s="36"/>
    </row>
    <row r="30" spans="1:5" x14ac:dyDescent="0.2">
      <c r="A30" s="141" t="s">
        <v>49</v>
      </c>
      <c r="B30" s="37">
        <v>18.29</v>
      </c>
      <c r="C30" s="38">
        <v>0</v>
      </c>
      <c r="D30" s="39">
        <f t="shared" si="0"/>
        <v>269.77749999999997</v>
      </c>
      <c r="E30" s="36"/>
    </row>
    <row r="31" spans="1:5" x14ac:dyDescent="0.2">
      <c r="A31" s="141" t="s">
        <v>50</v>
      </c>
      <c r="B31" s="37">
        <v>17.649999999999999</v>
      </c>
      <c r="C31" s="38">
        <v>0</v>
      </c>
      <c r="D31" s="39">
        <f t="shared" si="0"/>
        <v>260.33749999999998</v>
      </c>
      <c r="E31" s="36"/>
    </row>
    <row r="32" spans="1:5" x14ac:dyDescent="0.2">
      <c r="A32" s="141" t="s">
        <v>51</v>
      </c>
      <c r="B32" s="37">
        <v>19.11</v>
      </c>
      <c r="C32" s="38">
        <v>0</v>
      </c>
      <c r="D32" s="39">
        <f t="shared" si="0"/>
        <v>281.8725</v>
      </c>
      <c r="E32" s="36"/>
    </row>
    <row r="33" spans="1:5" x14ac:dyDescent="0.2">
      <c r="A33" s="141" t="s">
        <v>52</v>
      </c>
      <c r="B33" s="37">
        <v>17.07</v>
      </c>
      <c r="C33" s="38">
        <v>0</v>
      </c>
      <c r="D33" s="39">
        <f t="shared" si="0"/>
        <v>251.7825</v>
      </c>
      <c r="E33" s="36"/>
    </row>
    <row r="34" spans="1:5" x14ac:dyDescent="0.2">
      <c r="A34" s="141" t="s">
        <v>53</v>
      </c>
      <c r="B34" s="37">
        <v>18.5</v>
      </c>
      <c r="C34" s="38">
        <v>0</v>
      </c>
      <c r="D34" s="39">
        <f t="shared" si="0"/>
        <v>272.875</v>
      </c>
      <c r="E34" s="36"/>
    </row>
    <row r="35" spans="1:5" x14ac:dyDescent="0.2">
      <c r="A35" s="141" t="s">
        <v>54</v>
      </c>
      <c r="B35" s="37">
        <v>17.41</v>
      </c>
      <c r="C35" s="38">
        <v>0</v>
      </c>
      <c r="D35" s="39">
        <f t="shared" si="0"/>
        <v>256.79750000000001</v>
      </c>
      <c r="E35" s="36"/>
    </row>
    <row r="36" spans="1:5" x14ac:dyDescent="0.2">
      <c r="A36" s="141" t="s">
        <v>55</v>
      </c>
      <c r="B36" s="37">
        <v>19.36</v>
      </c>
      <c r="C36" s="38">
        <v>0</v>
      </c>
      <c r="D36" s="39">
        <f t="shared" si="0"/>
        <v>285.56</v>
      </c>
      <c r="E36" s="36"/>
    </row>
    <row r="37" spans="1:5" x14ac:dyDescent="0.2">
      <c r="A37" s="141" t="s">
        <v>56</v>
      </c>
      <c r="B37" s="37">
        <v>16.97</v>
      </c>
      <c r="C37" s="38">
        <v>0</v>
      </c>
      <c r="D37" s="39">
        <f t="shared" si="0"/>
        <v>250.30749999999998</v>
      </c>
      <c r="E37" s="36"/>
    </row>
    <row r="38" spans="1:5" x14ac:dyDescent="0.2">
      <c r="A38" s="141" t="s">
        <v>57</v>
      </c>
      <c r="B38" s="37">
        <v>18.309999999999999</v>
      </c>
      <c r="C38" s="38">
        <v>0</v>
      </c>
      <c r="D38" s="39">
        <f t="shared" si="0"/>
        <v>270.07249999999999</v>
      </c>
      <c r="E38" s="36"/>
    </row>
    <row r="39" spans="1:5" x14ac:dyDescent="0.2">
      <c r="A39" s="141" t="s">
        <v>58</v>
      </c>
      <c r="B39" s="37">
        <v>17.670000000000002</v>
      </c>
      <c r="C39" s="38">
        <v>0</v>
      </c>
      <c r="D39" s="39">
        <f t="shared" si="0"/>
        <v>260.63250000000005</v>
      </c>
      <c r="E39" s="36"/>
    </row>
    <row r="40" spans="1:5" x14ac:dyDescent="0.2">
      <c r="A40" s="141" t="s">
        <v>59</v>
      </c>
      <c r="B40" s="37">
        <v>19.13</v>
      </c>
      <c r="C40" s="38">
        <v>0</v>
      </c>
      <c r="D40" s="39">
        <f t="shared" si="0"/>
        <v>282.16749999999996</v>
      </c>
      <c r="E40" s="36"/>
    </row>
    <row r="41" spans="1:5" x14ac:dyDescent="0.2">
      <c r="A41" s="141" t="s">
        <v>60</v>
      </c>
      <c r="B41" s="37">
        <v>17.09</v>
      </c>
      <c r="C41" s="38">
        <v>0</v>
      </c>
      <c r="D41" s="39">
        <f t="shared" si="0"/>
        <v>252.07749999999999</v>
      </c>
      <c r="E41" s="36"/>
    </row>
    <row r="42" spans="1:5" x14ac:dyDescent="0.2">
      <c r="A42" s="141" t="s">
        <v>61</v>
      </c>
      <c r="B42" s="37">
        <v>18.52</v>
      </c>
      <c r="C42" s="38">
        <v>0</v>
      </c>
      <c r="D42" s="39">
        <f t="shared" si="0"/>
        <v>273.17</v>
      </c>
      <c r="E42" s="36"/>
    </row>
    <row r="43" spans="1:5" x14ac:dyDescent="0.2">
      <c r="A43" s="141" t="s">
        <v>62</v>
      </c>
      <c r="B43" s="37">
        <v>17.43</v>
      </c>
      <c r="C43" s="38">
        <v>0</v>
      </c>
      <c r="D43" s="39">
        <f t="shared" si="0"/>
        <v>257.09249999999997</v>
      </c>
      <c r="E43" s="36"/>
    </row>
    <row r="44" spans="1:5" x14ac:dyDescent="0.2">
      <c r="A44" s="141" t="s">
        <v>63</v>
      </c>
      <c r="B44" s="37">
        <v>19.38</v>
      </c>
      <c r="C44" s="38">
        <v>0</v>
      </c>
      <c r="D44" s="39">
        <f t="shared" si="0"/>
        <v>285.85499999999996</v>
      </c>
      <c r="E44" s="36"/>
    </row>
    <row r="45" spans="1:5" x14ac:dyDescent="0.2">
      <c r="A45" s="141" t="s">
        <v>64</v>
      </c>
      <c r="B45" s="37">
        <v>16.989999999999998</v>
      </c>
      <c r="C45" s="38">
        <v>0</v>
      </c>
      <c r="D45" s="39">
        <f t="shared" si="0"/>
        <v>250.60249999999996</v>
      </c>
      <c r="E45" s="36"/>
    </row>
    <row r="46" spans="1:5" x14ac:dyDescent="0.2">
      <c r="A46" s="141" t="s">
        <v>65</v>
      </c>
      <c r="B46" s="37">
        <v>18.329999999999998</v>
      </c>
      <c r="C46" s="38">
        <v>0</v>
      </c>
      <c r="D46" s="39">
        <f t="shared" si="0"/>
        <v>270.36749999999995</v>
      </c>
      <c r="E46" s="36"/>
    </row>
    <row r="47" spans="1:5" x14ac:dyDescent="0.2">
      <c r="A47" s="141" t="s">
        <v>66</v>
      </c>
      <c r="B47" s="37">
        <v>17.690000000000001</v>
      </c>
      <c r="C47" s="38">
        <v>0</v>
      </c>
      <c r="D47" s="39">
        <f t="shared" si="0"/>
        <v>260.92750000000001</v>
      </c>
      <c r="E47" s="36"/>
    </row>
    <row r="48" spans="1:5" x14ac:dyDescent="0.2">
      <c r="A48" s="141" t="s">
        <v>67</v>
      </c>
      <c r="B48" s="37">
        <v>19.149999999999999</v>
      </c>
      <c r="C48" s="38">
        <v>0</v>
      </c>
      <c r="D48" s="39">
        <f t="shared" si="0"/>
        <v>282.46249999999998</v>
      </c>
      <c r="E48" s="36"/>
    </row>
    <row r="49" spans="1:5" x14ac:dyDescent="0.2">
      <c r="A49" s="141" t="s">
        <v>68</v>
      </c>
      <c r="B49" s="37">
        <v>17.11</v>
      </c>
      <c r="C49" s="38">
        <v>0</v>
      </c>
      <c r="D49" s="39">
        <f t="shared" si="0"/>
        <v>252.3725</v>
      </c>
      <c r="E49" s="36"/>
    </row>
    <row r="50" spans="1:5" x14ac:dyDescent="0.2">
      <c r="A50" s="141" t="s">
        <v>69</v>
      </c>
      <c r="B50" s="37">
        <v>18.54</v>
      </c>
      <c r="C50" s="38">
        <v>0</v>
      </c>
      <c r="D50" s="39">
        <f t="shared" si="0"/>
        <v>273.46499999999997</v>
      </c>
      <c r="E50" s="36"/>
    </row>
    <row r="51" spans="1:5" x14ac:dyDescent="0.2">
      <c r="A51" s="141" t="s">
        <v>70</v>
      </c>
      <c r="B51" s="37">
        <v>17.45</v>
      </c>
      <c r="C51" s="38">
        <v>0</v>
      </c>
      <c r="D51" s="39">
        <f t="shared" si="0"/>
        <v>257.38749999999999</v>
      </c>
      <c r="E51" s="36"/>
    </row>
    <row r="52" spans="1:5" x14ac:dyDescent="0.2">
      <c r="A52" s="141" t="s">
        <v>71</v>
      </c>
      <c r="B52" s="37">
        <v>19.399999999999999</v>
      </c>
      <c r="C52" s="38">
        <v>0</v>
      </c>
      <c r="D52" s="39">
        <f t="shared" si="0"/>
        <v>286.14999999999998</v>
      </c>
      <c r="E52" s="36"/>
    </row>
    <row r="53" spans="1:5" x14ac:dyDescent="0.2">
      <c r="A53" s="141" t="s">
        <v>72</v>
      </c>
      <c r="B53" s="37">
        <v>17.010000000000002</v>
      </c>
      <c r="C53" s="38">
        <v>0</v>
      </c>
      <c r="D53" s="39">
        <f t="shared" si="0"/>
        <v>250.89750000000004</v>
      </c>
      <c r="E53" s="36"/>
    </row>
    <row r="54" spans="1:5" x14ac:dyDescent="0.2">
      <c r="A54" s="141" t="s">
        <v>73</v>
      </c>
      <c r="B54" s="37">
        <v>18.350000000000001</v>
      </c>
      <c r="C54" s="38">
        <v>0</v>
      </c>
      <c r="D54" s="39">
        <f t="shared" si="0"/>
        <v>270.66250000000002</v>
      </c>
      <c r="E54" s="36"/>
    </row>
    <row r="55" spans="1:5" x14ac:dyDescent="0.2">
      <c r="A55" s="141" t="s">
        <v>74</v>
      </c>
      <c r="B55" s="37">
        <v>17.71</v>
      </c>
      <c r="C55" s="38">
        <v>0</v>
      </c>
      <c r="D55" s="39">
        <f t="shared" si="0"/>
        <v>261.22250000000003</v>
      </c>
      <c r="E55" s="36"/>
    </row>
    <row r="56" spans="1:5" x14ac:dyDescent="0.2">
      <c r="A56" s="141" t="s">
        <v>75</v>
      </c>
      <c r="B56" s="37">
        <v>19.170000000000002</v>
      </c>
      <c r="C56" s="38">
        <v>0</v>
      </c>
      <c r="D56" s="39">
        <f t="shared" si="0"/>
        <v>282.75750000000005</v>
      </c>
      <c r="E56" s="36"/>
    </row>
    <row r="57" spans="1:5" x14ac:dyDescent="0.2">
      <c r="A57" s="141" t="s">
        <v>76</v>
      </c>
      <c r="B57" s="37">
        <v>17.13</v>
      </c>
      <c r="C57" s="38">
        <v>0</v>
      </c>
      <c r="D57" s="39">
        <f t="shared" si="0"/>
        <v>252.66749999999999</v>
      </c>
      <c r="E57" s="36"/>
    </row>
    <row r="58" spans="1:5" x14ac:dyDescent="0.2">
      <c r="A58" s="141" t="s">
        <v>77</v>
      </c>
      <c r="B58" s="37">
        <v>18.559999999999999</v>
      </c>
      <c r="C58" s="38">
        <v>0</v>
      </c>
      <c r="D58" s="39">
        <f t="shared" si="0"/>
        <v>273.76</v>
      </c>
      <c r="E58" s="36"/>
    </row>
    <row r="59" spans="1:5" x14ac:dyDescent="0.2">
      <c r="A59" s="141" t="s">
        <v>78</v>
      </c>
      <c r="B59" s="37">
        <v>17.47</v>
      </c>
      <c r="C59" s="38">
        <v>0</v>
      </c>
      <c r="D59" s="39">
        <f t="shared" si="0"/>
        <v>257.6825</v>
      </c>
      <c r="E59" s="36"/>
    </row>
    <row r="60" spans="1:5" x14ac:dyDescent="0.2">
      <c r="A60" s="141" t="s">
        <v>79</v>
      </c>
      <c r="B60" s="37">
        <v>19.420000000000002</v>
      </c>
      <c r="C60" s="38">
        <v>0</v>
      </c>
      <c r="D60" s="39">
        <f t="shared" si="0"/>
        <v>286.44500000000005</v>
      </c>
      <c r="E60" s="36"/>
    </row>
    <row r="61" spans="1:5" x14ac:dyDescent="0.2">
      <c r="A61" s="141" t="s">
        <v>80</v>
      </c>
      <c r="B61" s="37">
        <v>17.03</v>
      </c>
      <c r="C61" s="38">
        <v>0</v>
      </c>
      <c r="D61" s="39">
        <f t="shared" si="0"/>
        <v>251.19250000000002</v>
      </c>
      <c r="E61" s="36"/>
    </row>
    <row r="62" spans="1:5" x14ac:dyDescent="0.2">
      <c r="A62" s="141" t="s">
        <v>81</v>
      </c>
      <c r="B62" s="37">
        <v>18.37</v>
      </c>
      <c r="C62" s="38">
        <v>0</v>
      </c>
      <c r="D62" s="39">
        <f t="shared" si="0"/>
        <v>270.95750000000004</v>
      </c>
      <c r="E62" s="36"/>
    </row>
    <row r="63" spans="1:5" x14ac:dyDescent="0.2">
      <c r="A63" s="141" t="s">
        <v>82</v>
      </c>
      <c r="B63" s="37">
        <v>17.73</v>
      </c>
      <c r="C63" s="38">
        <v>0</v>
      </c>
      <c r="D63" s="39">
        <f t="shared" si="0"/>
        <v>261.51749999999998</v>
      </c>
      <c r="E63" s="36"/>
    </row>
    <row r="64" spans="1:5" x14ac:dyDescent="0.2">
      <c r="A64" s="142" t="s">
        <v>83</v>
      </c>
      <c r="B64" s="37">
        <v>19.190000000000001</v>
      </c>
      <c r="C64" s="38">
        <v>0</v>
      </c>
      <c r="D64" s="39">
        <f t="shared" si="0"/>
        <v>283.05250000000001</v>
      </c>
      <c r="E64" s="36"/>
    </row>
    <row r="65" spans="1:5" x14ac:dyDescent="0.2">
      <c r="A65" s="142" t="s">
        <v>84</v>
      </c>
      <c r="B65" s="37">
        <v>17.149999999999999</v>
      </c>
      <c r="C65" s="38">
        <v>0</v>
      </c>
      <c r="D65" s="39">
        <f t="shared" si="0"/>
        <v>252.96249999999998</v>
      </c>
      <c r="E65" s="36"/>
    </row>
    <row r="66" spans="1:5" ht="15" thickBot="1" x14ac:dyDescent="0.25">
      <c r="A66" s="143" t="s">
        <v>85</v>
      </c>
      <c r="B66" s="40">
        <v>18.579999999999998</v>
      </c>
      <c r="C66" s="41">
        <v>0</v>
      </c>
      <c r="D66" s="42">
        <f t="shared" si="0"/>
        <v>274.05499999999995</v>
      </c>
      <c r="E66" s="43"/>
    </row>
  </sheetData>
  <mergeCells count="19">
    <mergeCell ref="E7:E8"/>
    <mergeCell ref="A9:A10"/>
    <mergeCell ref="B9:B10"/>
    <mergeCell ref="A11:A12"/>
    <mergeCell ref="B11:B12"/>
    <mergeCell ref="E13:E66"/>
    <mergeCell ref="A5:A6"/>
    <mergeCell ref="B5:B6"/>
    <mergeCell ref="A7:A8"/>
    <mergeCell ref="B7:B8"/>
    <mergeCell ref="C7:C8"/>
    <mergeCell ref="D7:D8"/>
    <mergeCell ref="A1:E1"/>
    <mergeCell ref="A2:B2"/>
    <mergeCell ref="F2:G2"/>
    <mergeCell ref="A3:A4"/>
    <mergeCell ref="B3:B4"/>
    <mergeCell ref="F3:G3"/>
    <mergeCell ref="F4:G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5E7F4-BC3E-498E-BC5C-68BCC26A3ADF}">
  <sheetPr codeName="Sheet21">
    <tabColor rgb="FF00B0F0"/>
  </sheetPr>
  <dimension ref="A1:G66"/>
  <sheetViews>
    <sheetView workbookViewId="0">
      <selection activeCell="D10" sqref="D10"/>
    </sheetView>
  </sheetViews>
  <sheetFormatPr defaultRowHeight="14.25" x14ac:dyDescent="0.2"/>
  <cols>
    <col min="1" max="1" width="16.42578125" style="5" bestFit="1" customWidth="1"/>
    <col min="2" max="2" width="28.85546875" style="5" customWidth="1"/>
    <col min="3" max="3" width="20.42578125" style="5" customWidth="1"/>
    <col min="4" max="4" width="21.28515625" style="5" customWidth="1"/>
    <col min="5" max="5" width="14.28515625" style="5" bestFit="1" customWidth="1"/>
    <col min="6" max="6" width="19" style="5" bestFit="1" customWidth="1"/>
    <col min="7" max="7" width="18.5703125" style="5" customWidth="1"/>
    <col min="8" max="16384" width="9.140625" style="5"/>
  </cols>
  <sheetData>
    <row r="1" spans="1:7" ht="18.75" thickBot="1" x14ac:dyDescent="0.3">
      <c r="A1" s="52" t="s">
        <v>28</v>
      </c>
      <c r="B1" s="53"/>
      <c r="C1" s="53"/>
      <c r="D1" s="53"/>
      <c r="E1" s="54"/>
      <c r="F1" s="67"/>
      <c r="G1" s="67"/>
    </row>
    <row r="2" spans="1:7" ht="15" x14ac:dyDescent="0.2">
      <c r="A2" s="68" t="s">
        <v>9</v>
      </c>
      <c r="B2" s="69"/>
      <c r="C2" s="61" t="s">
        <v>29</v>
      </c>
      <c r="D2" s="61" t="s">
        <v>31</v>
      </c>
      <c r="E2" s="62"/>
      <c r="F2" s="55" t="s">
        <v>87</v>
      </c>
      <c r="G2" s="56"/>
    </row>
    <row r="3" spans="1:7" ht="15" x14ac:dyDescent="0.2">
      <c r="A3" s="57" t="s">
        <v>8</v>
      </c>
      <c r="B3" s="15" t="s">
        <v>147</v>
      </c>
      <c r="C3" s="16">
        <f>SUM(B14:B21)</f>
        <v>178</v>
      </c>
      <c r="D3" s="16">
        <f>SUM(B38:B59)</f>
        <v>487.64999999999992</v>
      </c>
      <c r="E3" s="63" t="s">
        <v>95</v>
      </c>
      <c r="F3" s="138">
        <v>0</v>
      </c>
      <c r="G3" s="139"/>
    </row>
    <row r="4" spans="1:7" ht="15" x14ac:dyDescent="0.2">
      <c r="A4" s="57"/>
      <c r="B4" s="15"/>
      <c r="C4" s="17">
        <v>3100</v>
      </c>
      <c r="D4" s="18">
        <v>2700</v>
      </c>
      <c r="E4" s="63" t="s">
        <v>97</v>
      </c>
      <c r="F4" s="64" t="s">
        <v>7</v>
      </c>
      <c r="G4" s="65"/>
    </row>
    <row r="5" spans="1:7" ht="15" x14ac:dyDescent="0.2">
      <c r="A5" s="57" t="s">
        <v>6</v>
      </c>
      <c r="B5" s="19" t="s">
        <v>156</v>
      </c>
      <c r="C5" s="20">
        <f>SUM(D14:D21)</f>
        <v>3070.5</v>
      </c>
      <c r="D5" s="18">
        <f>SUM(D60:D66)</f>
        <v>2694.2775000000001</v>
      </c>
      <c r="E5" s="63" t="s">
        <v>1</v>
      </c>
      <c r="F5" s="21" t="s">
        <v>96</v>
      </c>
      <c r="G5" s="145">
        <f>C3+C9+D9+D3</f>
        <v>1175.9299999999998</v>
      </c>
    </row>
    <row r="6" spans="1:7" ht="15" x14ac:dyDescent="0.2">
      <c r="A6" s="57"/>
      <c r="B6" s="19"/>
      <c r="C6" s="23">
        <f>C4-C5</f>
        <v>29.5</v>
      </c>
      <c r="D6" s="18">
        <f>D4-D5</f>
        <v>5.7224999999998545</v>
      </c>
      <c r="E6" s="63" t="s">
        <v>0</v>
      </c>
      <c r="F6" s="21" t="s">
        <v>98</v>
      </c>
      <c r="G6" s="22">
        <f>C4+C10+D4+D10</f>
        <v>20400</v>
      </c>
    </row>
    <row r="7" spans="1:7" ht="15" customHeight="1" x14ac:dyDescent="0.2">
      <c r="A7" s="57" t="s">
        <v>4</v>
      </c>
      <c r="B7" s="19" t="s">
        <v>174</v>
      </c>
      <c r="C7" s="58" t="s">
        <v>30</v>
      </c>
      <c r="D7" s="58" t="s">
        <v>32</v>
      </c>
      <c r="E7" s="66"/>
      <c r="F7" s="24" t="s">
        <v>5</v>
      </c>
      <c r="G7" s="22">
        <f>G5*B11</f>
        <v>20284.792499999996</v>
      </c>
    </row>
    <row r="8" spans="1:7" x14ac:dyDescent="0.2">
      <c r="A8" s="57"/>
      <c r="B8" s="19"/>
      <c r="C8" s="58"/>
      <c r="D8" s="58"/>
      <c r="E8" s="66"/>
      <c r="F8" s="25" t="s">
        <v>11</v>
      </c>
      <c r="G8" s="22">
        <f>(G7-G6)+F3</f>
        <v>-115.20750000000407</v>
      </c>
    </row>
    <row r="9" spans="1:7" ht="15.75" thickBot="1" x14ac:dyDescent="0.25">
      <c r="A9" s="57" t="s">
        <v>86</v>
      </c>
      <c r="B9" s="19" t="s">
        <v>178</v>
      </c>
      <c r="C9" s="26">
        <f>SUM(B22:B37)</f>
        <v>354.09000000000003</v>
      </c>
      <c r="D9" s="26">
        <f>SUM(B60:B66)</f>
        <v>156.19</v>
      </c>
      <c r="E9" s="63" t="s">
        <v>95</v>
      </c>
      <c r="F9" s="27" t="s">
        <v>3</v>
      </c>
      <c r="G9" s="28">
        <f>IFERROR(G8/B11, 0)</f>
        <v>-6.6786956521741496</v>
      </c>
    </row>
    <row r="10" spans="1:7" ht="15" x14ac:dyDescent="0.2">
      <c r="A10" s="57"/>
      <c r="B10" s="19"/>
      <c r="C10" s="29">
        <v>6150</v>
      </c>
      <c r="D10" s="18">
        <v>8450</v>
      </c>
      <c r="E10" s="63" t="s">
        <v>97</v>
      </c>
    </row>
    <row r="11" spans="1:7" ht="15" x14ac:dyDescent="0.2">
      <c r="A11" s="57" t="s">
        <v>2</v>
      </c>
      <c r="B11" s="30">
        <v>17.25</v>
      </c>
      <c r="C11" s="31">
        <f>SUM(D22:D37)</f>
        <v>6108.0525000000016</v>
      </c>
      <c r="D11" s="18">
        <f>SUM(D38:D59)</f>
        <v>8411.9625000000015</v>
      </c>
      <c r="E11" s="63" t="s">
        <v>1</v>
      </c>
    </row>
    <row r="12" spans="1:7" ht="15" x14ac:dyDescent="0.2">
      <c r="A12" s="57"/>
      <c r="B12" s="30"/>
      <c r="C12" s="18">
        <f>C10-C11</f>
        <v>41.947499999998399</v>
      </c>
      <c r="D12" s="18">
        <f>D10-D11</f>
        <v>38.037499999998545</v>
      </c>
      <c r="E12" s="63" t="s">
        <v>0</v>
      </c>
    </row>
    <row r="13" spans="1:7" ht="18.75" customHeight="1" thickBot="1" x14ac:dyDescent="0.25">
      <c r="A13" s="59" t="s">
        <v>17</v>
      </c>
      <c r="B13" s="60" t="s">
        <v>95</v>
      </c>
      <c r="C13" s="60" t="s">
        <v>87</v>
      </c>
      <c r="D13" s="60" t="s">
        <v>94</v>
      </c>
      <c r="E13" s="32"/>
    </row>
    <row r="14" spans="1:7" x14ac:dyDescent="0.2">
      <c r="A14" s="140" t="s">
        <v>33</v>
      </c>
      <c r="B14" s="33">
        <v>22.9</v>
      </c>
      <c r="C14" s="34">
        <v>0</v>
      </c>
      <c r="D14" s="35">
        <f t="shared" ref="D14:D66" si="0">B14*$B$11</f>
        <v>395.02499999999998</v>
      </c>
      <c r="E14" s="36"/>
    </row>
    <row r="15" spans="1:7" x14ac:dyDescent="0.2">
      <c r="A15" s="141" t="s">
        <v>34</v>
      </c>
      <c r="B15" s="37">
        <v>21.76</v>
      </c>
      <c r="C15" s="38">
        <v>0</v>
      </c>
      <c r="D15" s="39">
        <f t="shared" si="0"/>
        <v>375.36</v>
      </c>
      <c r="E15" s="36"/>
    </row>
    <row r="16" spans="1:7" x14ac:dyDescent="0.2">
      <c r="A16" s="141" t="s">
        <v>35</v>
      </c>
      <c r="B16" s="37">
        <v>23.41</v>
      </c>
      <c r="C16" s="38">
        <v>0</v>
      </c>
      <c r="D16" s="39">
        <f t="shared" si="0"/>
        <v>403.82249999999999</v>
      </c>
      <c r="E16" s="36"/>
    </row>
    <row r="17" spans="1:5" x14ac:dyDescent="0.2">
      <c r="A17" s="141" t="s">
        <v>36</v>
      </c>
      <c r="B17" s="37">
        <v>21.08</v>
      </c>
      <c r="C17" s="38">
        <v>0</v>
      </c>
      <c r="D17" s="39">
        <f t="shared" si="0"/>
        <v>363.63</v>
      </c>
      <c r="E17" s="36"/>
    </row>
    <row r="18" spans="1:5" x14ac:dyDescent="0.2">
      <c r="A18" s="141" t="s">
        <v>37</v>
      </c>
      <c r="B18" s="37">
        <v>22.73</v>
      </c>
      <c r="C18" s="38">
        <v>0</v>
      </c>
      <c r="D18" s="39">
        <f t="shared" si="0"/>
        <v>392.09250000000003</v>
      </c>
      <c r="E18" s="36"/>
    </row>
    <row r="19" spans="1:5" x14ac:dyDescent="0.2">
      <c r="A19" s="141" t="s">
        <v>38</v>
      </c>
      <c r="B19" s="37">
        <v>21.52</v>
      </c>
      <c r="C19" s="38">
        <v>0</v>
      </c>
      <c r="D19" s="39">
        <f t="shared" si="0"/>
        <v>371.21999999999997</v>
      </c>
      <c r="E19" s="36"/>
    </row>
    <row r="20" spans="1:5" x14ac:dyDescent="0.2">
      <c r="A20" s="141" t="s">
        <v>39</v>
      </c>
      <c r="B20" s="37">
        <v>23.66</v>
      </c>
      <c r="C20" s="38">
        <v>0</v>
      </c>
      <c r="D20" s="39">
        <f t="shared" si="0"/>
        <v>408.13499999999999</v>
      </c>
      <c r="E20" s="36"/>
    </row>
    <row r="21" spans="1:5" x14ac:dyDescent="0.2">
      <c r="A21" s="141" t="s">
        <v>40</v>
      </c>
      <c r="B21" s="37">
        <v>20.94</v>
      </c>
      <c r="C21" s="38">
        <v>0</v>
      </c>
      <c r="D21" s="39">
        <f t="shared" si="0"/>
        <v>361.21500000000003</v>
      </c>
      <c r="E21" s="36"/>
    </row>
    <row r="22" spans="1:5" x14ac:dyDescent="0.2">
      <c r="A22" s="141" t="s">
        <v>41</v>
      </c>
      <c r="B22" s="37">
        <v>22.31</v>
      </c>
      <c r="C22" s="38">
        <v>0</v>
      </c>
      <c r="D22" s="39">
        <f t="shared" si="0"/>
        <v>384.84749999999997</v>
      </c>
      <c r="E22" s="36"/>
    </row>
    <row r="23" spans="1:5" x14ac:dyDescent="0.2">
      <c r="A23" s="141" t="s">
        <v>42</v>
      </c>
      <c r="B23" s="37">
        <v>21.63</v>
      </c>
      <c r="C23" s="38">
        <v>0</v>
      </c>
      <c r="D23" s="39">
        <f t="shared" si="0"/>
        <v>373.11750000000001</v>
      </c>
      <c r="E23" s="36"/>
    </row>
    <row r="24" spans="1:5" x14ac:dyDescent="0.2">
      <c r="A24" s="141" t="s">
        <v>43</v>
      </c>
      <c r="B24" s="37">
        <v>23.27</v>
      </c>
      <c r="C24" s="38">
        <v>0</v>
      </c>
      <c r="D24" s="39">
        <f t="shared" si="0"/>
        <v>401.40749999999997</v>
      </c>
      <c r="E24" s="36"/>
    </row>
    <row r="25" spans="1:5" x14ac:dyDescent="0.2">
      <c r="A25" s="141" t="s">
        <v>44</v>
      </c>
      <c r="B25" s="37">
        <v>21.01</v>
      </c>
      <c r="C25" s="38">
        <v>0</v>
      </c>
      <c r="D25" s="39">
        <f t="shared" si="0"/>
        <v>362.42250000000001</v>
      </c>
      <c r="E25" s="36"/>
    </row>
    <row r="26" spans="1:5" x14ac:dyDescent="0.2">
      <c r="A26" s="141" t="s">
        <v>45</v>
      </c>
      <c r="B26" s="37">
        <v>22.68</v>
      </c>
      <c r="C26" s="38">
        <v>0</v>
      </c>
      <c r="D26" s="39">
        <f t="shared" si="0"/>
        <v>391.23</v>
      </c>
      <c r="E26" s="36"/>
    </row>
    <row r="27" spans="1:5" x14ac:dyDescent="0.2">
      <c r="A27" s="141" t="s">
        <v>46</v>
      </c>
      <c r="B27" s="37">
        <v>21.49</v>
      </c>
      <c r="C27" s="38">
        <v>0</v>
      </c>
      <c r="D27" s="39">
        <f t="shared" si="0"/>
        <v>370.70249999999999</v>
      </c>
      <c r="E27" s="36"/>
    </row>
    <row r="28" spans="1:5" x14ac:dyDescent="0.2">
      <c r="A28" s="141" t="s">
        <v>47</v>
      </c>
      <c r="B28" s="37">
        <v>23.58</v>
      </c>
      <c r="C28" s="38">
        <v>0</v>
      </c>
      <c r="D28" s="39">
        <f t="shared" si="0"/>
        <v>406.755</v>
      </c>
      <c r="E28" s="36"/>
    </row>
    <row r="29" spans="1:5" x14ac:dyDescent="0.2">
      <c r="A29" s="141" t="s">
        <v>48</v>
      </c>
      <c r="B29" s="37">
        <v>20.97</v>
      </c>
      <c r="C29" s="38">
        <v>0</v>
      </c>
      <c r="D29" s="39">
        <f t="shared" si="0"/>
        <v>361.73249999999996</v>
      </c>
      <c r="E29" s="36"/>
    </row>
    <row r="30" spans="1:5" x14ac:dyDescent="0.2">
      <c r="A30" s="141" t="s">
        <v>49</v>
      </c>
      <c r="B30" s="37">
        <v>22.36</v>
      </c>
      <c r="C30" s="38">
        <v>0</v>
      </c>
      <c r="D30" s="39">
        <f t="shared" si="0"/>
        <v>385.71</v>
      </c>
      <c r="E30" s="36"/>
    </row>
    <row r="31" spans="1:5" x14ac:dyDescent="0.2">
      <c r="A31" s="141" t="s">
        <v>50</v>
      </c>
      <c r="B31" s="37">
        <v>21.68</v>
      </c>
      <c r="C31" s="38">
        <v>0</v>
      </c>
      <c r="D31" s="39">
        <f t="shared" si="0"/>
        <v>373.98</v>
      </c>
      <c r="E31" s="36"/>
    </row>
    <row r="32" spans="1:5" x14ac:dyDescent="0.2">
      <c r="A32" s="141" t="s">
        <v>51</v>
      </c>
      <c r="B32" s="37">
        <v>23.31</v>
      </c>
      <c r="C32" s="38">
        <v>0</v>
      </c>
      <c r="D32" s="39">
        <f t="shared" si="0"/>
        <v>402.09749999999997</v>
      </c>
      <c r="E32" s="36"/>
    </row>
    <row r="33" spans="1:5" x14ac:dyDescent="0.2">
      <c r="A33" s="141" t="s">
        <v>52</v>
      </c>
      <c r="B33" s="37">
        <v>21.03</v>
      </c>
      <c r="C33" s="38">
        <v>0</v>
      </c>
      <c r="D33" s="39">
        <f t="shared" si="0"/>
        <v>362.76750000000004</v>
      </c>
      <c r="E33" s="36"/>
    </row>
    <row r="34" spans="1:5" x14ac:dyDescent="0.2">
      <c r="A34" s="141" t="s">
        <v>53</v>
      </c>
      <c r="B34" s="37">
        <v>22.71</v>
      </c>
      <c r="C34" s="38">
        <v>0</v>
      </c>
      <c r="D34" s="39">
        <f t="shared" si="0"/>
        <v>391.7475</v>
      </c>
      <c r="E34" s="36"/>
    </row>
    <row r="35" spans="1:5" x14ac:dyDescent="0.2">
      <c r="A35" s="141" t="s">
        <v>54</v>
      </c>
      <c r="B35" s="37">
        <v>21.47</v>
      </c>
      <c r="C35" s="38">
        <v>0</v>
      </c>
      <c r="D35" s="39">
        <f t="shared" si="0"/>
        <v>370.35749999999996</v>
      </c>
      <c r="E35" s="36"/>
    </row>
    <row r="36" spans="1:5" x14ac:dyDescent="0.2">
      <c r="A36" s="141" t="s">
        <v>55</v>
      </c>
      <c r="B36" s="37">
        <v>23.6</v>
      </c>
      <c r="C36" s="38">
        <v>0</v>
      </c>
      <c r="D36" s="39">
        <f t="shared" si="0"/>
        <v>407.1</v>
      </c>
      <c r="E36" s="36"/>
    </row>
    <row r="37" spans="1:5" x14ac:dyDescent="0.2">
      <c r="A37" s="141" t="s">
        <v>56</v>
      </c>
      <c r="B37" s="37">
        <v>20.99</v>
      </c>
      <c r="C37" s="38">
        <v>0</v>
      </c>
      <c r="D37" s="39">
        <f t="shared" si="0"/>
        <v>362.07749999999999</v>
      </c>
      <c r="E37" s="36"/>
    </row>
    <row r="38" spans="1:5" x14ac:dyDescent="0.2">
      <c r="A38" s="141" t="s">
        <v>57</v>
      </c>
      <c r="B38" s="37">
        <v>22.38</v>
      </c>
      <c r="C38" s="38">
        <v>0</v>
      </c>
      <c r="D38" s="39">
        <f t="shared" si="0"/>
        <v>386.05500000000001</v>
      </c>
      <c r="E38" s="36"/>
    </row>
    <row r="39" spans="1:5" x14ac:dyDescent="0.2">
      <c r="A39" s="141" t="s">
        <v>58</v>
      </c>
      <c r="B39" s="37">
        <v>21.7</v>
      </c>
      <c r="C39" s="38">
        <v>0</v>
      </c>
      <c r="D39" s="39">
        <f t="shared" si="0"/>
        <v>374.32499999999999</v>
      </c>
      <c r="E39" s="36"/>
    </row>
    <row r="40" spans="1:5" x14ac:dyDescent="0.2">
      <c r="A40" s="141" t="s">
        <v>59</v>
      </c>
      <c r="B40" s="37">
        <v>23.33</v>
      </c>
      <c r="C40" s="38">
        <v>0</v>
      </c>
      <c r="D40" s="39">
        <f t="shared" si="0"/>
        <v>402.4425</v>
      </c>
      <c r="E40" s="36"/>
    </row>
    <row r="41" spans="1:5" x14ac:dyDescent="0.2">
      <c r="A41" s="141" t="s">
        <v>60</v>
      </c>
      <c r="B41" s="37">
        <v>21.05</v>
      </c>
      <c r="C41" s="38">
        <v>0</v>
      </c>
      <c r="D41" s="39">
        <f t="shared" si="0"/>
        <v>363.11250000000001</v>
      </c>
      <c r="E41" s="36"/>
    </row>
    <row r="42" spans="1:5" x14ac:dyDescent="0.2">
      <c r="A42" s="141" t="s">
        <v>61</v>
      </c>
      <c r="B42" s="37">
        <v>22.73</v>
      </c>
      <c r="C42" s="38">
        <v>0</v>
      </c>
      <c r="D42" s="39">
        <f t="shared" si="0"/>
        <v>392.09250000000003</v>
      </c>
      <c r="E42" s="36"/>
    </row>
    <row r="43" spans="1:5" x14ac:dyDescent="0.2">
      <c r="A43" s="141" t="s">
        <v>62</v>
      </c>
      <c r="B43" s="37">
        <v>21.48</v>
      </c>
      <c r="C43" s="38">
        <v>0</v>
      </c>
      <c r="D43" s="39">
        <f t="shared" si="0"/>
        <v>370.53000000000003</v>
      </c>
      <c r="E43" s="36"/>
    </row>
    <row r="44" spans="1:5" x14ac:dyDescent="0.2">
      <c r="A44" s="141" t="s">
        <v>63</v>
      </c>
      <c r="B44" s="37">
        <v>23.62</v>
      </c>
      <c r="C44" s="38">
        <v>0</v>
      </c>
      <c r="D44" s="39">
        <f t="shared" si="0"/>
        <v>407.44499999999999</v>
      </c>
      <c r="E44" s="36"/>
    </row>
    <row r="45" spans="1:5" x14ac:dyDescent="0.2">
      <c r="A45" s="141" t="s">
        <v>64</v>
      </c>
      <c r="B45" s="37">
        <v>21</v>
      </c>
      <c r="C45" s="38">
        <v>0</v>
      </c>
      <c r="D45" s="39">
        <f t="shared" si="0"/>
        <v>362.25</v>
      </c>
      <c r="E45" s="36"/>
    </row>
    <row r="46" spans="1:5" x14ac:dyDescent="0.2">
      <c r="A46" s="141" t="s">
        <v>65</v>
      </c>
      <c r="B46" s="37">
        <v>22.4</v>
      </c>
      <c r="C46" s="38">
        <v>0</v>
      </c>
      <c r="D46" s="39">
        <f t="shared" si="0"/>
        <v>386.4</v>
      </c>
      <c r="E46" s="36"/>
    </row>
    <row r="47" spans="1:5" x14ac:dyDescent="0.2">
      <c r="A47" s="141" t="s">
        <v>66</v>
      </c>
      <c r="B47" s="37">
        <v>21.72</v>
      </c>
      <c r="C47" s="38">
        <v>0</v>
      </c>
      <c r="D47" s="39">
        <f t="shared" si="0"/>
        <v>374.66999999999996</v>
      </c>
      <c r="E47" s="36"/>
    </row>
    <row r="48" spans="1:5" x14ac:dyDescent="0.2">
      <c r="A48" s="141" t="s">
        <v>67</v>
      </c>
      <c r="B48" s="37">
        <v>23.35</v>
      </c>
      <c r="C48" s="38">
        <v>0</v>
      </c>
      <c r="D48" s="39">
        <f t="shared" si="0"/>
        <v>402.78750000000002</v>
      </c>
      <c r="E48" s="36"/>
    </row>
    <row r="49" spans="1:5" x14ac:dyDescent="0.2">
      <c r="A49" s="141" t="s">
        <v>68</v>
      </c>
      <c r="B49" s="37">
        <v>21.07</v>
      </c>
      <c r="C49" s="38">
        <v>0</v>
      </c>
      <c r="D49" s="39">
        <f t="shared" si="0"/>
        <v>363.45749999999998</v>
      </c>
      <c r="E49" s="36"/>
    </row>
    <row r="50" spans="1:5" x14ac:dyDescent="0.2">
      <c r="A50" s="141" t="s">
        <v>69</v>
      </c>
      <c r="B50" s="37">
        <v>22.75</v>
      </c>
      <c r="C50" s="38">
        <v>0</v>
      </c>
      <c r="D50" s="39">
        <f t="shared" si="0"/>
        <v>392.4375</v>
      </c>
      <c r="E50" s="36"/>
    </row>
    <row r="51" spans="1:5" x14ac:dyDescent="0.2">
      <c r="A51" s="141" t="s">
        <v>70</v>
      </c>
      <c r="B51" s="37">
        <v>21.5</v>
      </c>
      <c r="C51" s="38">
        <v>0</v>
      </c>
      <c r="D51" s="39">
        <f t="shared" si="0"/>
        <v>370.875</v>
      </c>
      <c r="E51" s="36"/>
    </row>
    <row r="52" spans="1:5" x14ac:dyDescent="0.2">
      <c r="A52" s="141" t="s">
        <v>71</v>
      </c>
      <c r="B52" s="37">
        <v>23.64</v>
      </c>
      <c r="C52" s="38">
        <v>0</v>
      </c>
      <c r="D52" s="39">
        <f t="shared" si="0"/>
        <v>407.79</v>
      </c>
      <c r="E52" s="36"/>
    </row>
    <row r="53" spans="1:5" x14ac:dyDescent="0.2">
      <c r="A53" s="141" t="s">
        <v>72</v>
      </c>
      <c r="B53" s="37">
        <v>21.02</v>
      </c>
      <c r="C53" s="38">
        <v>0</v>
      </c>
      <c r="D53" s="39">
        <f t="shared" si="0"/>
        <v>362.59499999999997</v>
      </c>
      <c r="E53" s="36"/>
    </row>
    <row r="54" spans="1:5" x14ac:dyDescent="0.2">
      <c r="A54" s="141" t="s">
        <v>73</v>
      </c>
      <c r="B54" s="37">
        <v>22.42</v>
      </c>
      <c r="C54" s="38">
        <v>0</v>
      </c>
      <c r="D54" s="39">
        <f t="shared" si="0"/>
        <v>386.745</v>
      </c>
      <c r="E54" s="36"/>
    </row>
    <row r="55" spans="1:5" x14ac:dyDescent="0.2">
      <c r="A55" s="141" t="s">
        <v>74</v>
      </c>
      <c r="B55" s="37">
        <v>21.74</v>
      </c>
      <c r="C55" s="38">
        <v>0</v>
      </c>
      <c r="D55" s="39">
        <f t="shared" si="0"/>
        <v>375.01499999999999</v>
      </c>
      <c r="E55" s="36"/>
    </row>
    <row r="56" spans="1:5" x14ac:dyDescent="0.2">
      <c r="A56" s="141" t="s">
        <v>75</v>
      </c>
      <c r="B56" s="37">
        <v>23.37</v>
      </c>
      <c r="C56" s="38">
        <v>0</v>
      </c>
      <c r="D56" s="39">
        <f t="shared" si="0"/>
        <v>403.13249999999999</v>
      </c>
      <c r="E56" s="36"/>
    </row>
    <row r="57" spans="1:5" x14ac:dyDescent="0.2">
      <c r="A57" s="141" t="s">
        <v>76</v>
      </c>
      <c r="B57" s="37">
        <v>21.09</v>
      </c>
      <c r="C57" s="38">
        <v>0</v>
      </c>
      <c r="D57" s="39">
        <f t="shared" si="0"/>
        <v>363.80250000000001</v>
      </c>
      <c r="E57" s="36"/>
    </row>
    <row r="58" spans="1:5" x14ac:dyDescent="0.2">
      <c r="A58" s="141" t="s">
        <v>77</v>
      </c>
      <c r="B58" s="37">
        <v>22.77</v>
      </c>
      <c r="C58" s="38">
        <v>0</v>
      </c>
      <c r="D58" s="39">
        <f t="shared" si="0"/>
        <v>392.78249999999997</v>
      </c>
      <c r="E58" s="36"/>
    </row>
    <row r="59" spans="1:5" x14ac:dyDescent="0.2">
      <c r="A59" s="141" t="s">
        <v>78</v>
      </c>
      <c r="B59" s="37">
        <v>21.52</v>
      </c>
      <c r="C59" s="38">
        <v>0</v>
      </c>
      <c r="D59" s="39">
        <f t="shared" si="0"/>
        <v>371.21999999999997</v>
      </c>
      <c r="E59" s="36"/>
    </row>
    <row r="60" spans="1:5" x14ac:dyDescent="0.2">
      <c r="A60" s="141" t="s">
        <v>79</v>
      </c>
      <c r="B60" s="37">
        <v>23.66</v>
      </c>
      <c r="C60" s="38">
        <v>0</v>
      </c>
      <c r="D60" s="39">
        <f t="shared" si="0"/>
        <v>408.13499999999999</v>
      </c>
      <c r="E60" s="36"/>
    </row>
    <row r="61" spans="1:5" x14ac:dyDescent="0.2">
      <c r="A61" s="141" t="s">
        <v>80</v>
      </c>
      <c r="B61" s="37">
        <v>21.04</v>
      </c>
      <c r="C61" s="38">
        <v>0</v>
      </c>
      <c r="D61" s="39">
        <f t="shared" si="0"/>
        <v>362.94</v>
      </c>
      <c r="E61" s="36"/>
    </row>
    <row r="62" spans="1:5" x14ac:dyDescent="0.2">
      <c r="A62" s="141" t="s">
        <v>81</v>
      </c>
      <c r="B62" s="37">
        <v>22.44</v>
      </c>
      <c r="C62" s="38">
        <v>0</v>
      </c>
      <c r="D62" s="39">
        <f t="shared" si="0"/>
        <v>387.09000000000003</v>
      </c>
      <c r="E62" s="36"/>
    </row>
    <row r="63" spans="1:5" x14ac:dyDescent="0.2">
      <c r="A63" s="141" t="s">
        <v>82</v>
      </c>
      <c r="B63" s="37">
        <v>21.76</v>
      </c>
      <c r="C63" s="38">
        <v>0</v>
      </c>
      <c r="D63" s="39">
        <f t="shared" si="0"/>
        <v>375.36</v>
      </c>
      <c r="E63" s="36"/>
    </row>
    <row r="64" spans="1:5" x14ac:dyDescent="0.2">
      <c r="A64" s="142" t="s">
        <v>83</v>
      </c>
      <c r="B64" s="37">
        <v>23.39</v>
      </c>
      <c r="C64" s="38">
        <v>0</v>
      </c>
      <c r="D64" s="39">
        <f t="shared" si="0"/>
        <v>403.47750000000002</v>
      </c>
      <c r="E64" s="36"/>
    </row>
    <row r="65" spans="1:5" x14ac:dyDescent="0.2">
      <c r="A65" s="142" t="s">
        <v>84</v>
      </c>
      <c r="B65" s="37">
        <v>21.11</v>
      </c>
      <c r="C65" s="38">
        <v>0</v>
      </c>
      <c r="D65" s="39">
        <f t="shared" si="0"/>
        <v>364.14749999999998</v>
      </c>
      <c r="E65" s="36"/>
    </row>
    <row r="66" spans="1:5" ht="15" thickBot="1" x14ac:dyDescent="0.25">
      <c r="A66" s="143" t="s">
        <v>85</v>
      </c>
      <c r="B66" s="40">
        <v>22.79</v>
      </c>
      <c r="C66" s="41">
        <v>0</v>
      </c>
      <c r="D66" s="42">
        <f t="shared" si="0"/>
        <v>393.1275</v>
      </c>
      <c r="E66" s="43"/>
    </row>
  </sheetData>
  <mergeCells count="19">
    <mergeCell ref="E7:E8"/>
    <mergeCell ref="A9:A10"/>
    <mergeCell ref="B9:B10"/>
    <mergeCell ref="A11:A12"/>
    <mergeCell ref="B11:B12"/>
    <mergeCell ref="E13:E66"/>
    <mergeCell ref="A5:A6"/>
    <mergeCell ref="B5:B6"/>
    <mergeCell ref="A7:A8"/>
    <mergeCell ref="B7:B8"/>
    <mergeCell ref="C7:C8"/>
    <mergeCell ref="D7:D8"/>
    <mergeCell ref="A1:E1"/>
    <mergeCell ref="A2:B2"/>
    <mergeCell ref="F2:G2"/>
    <mergeCell ref="A3:A4"/>
    <mergeCell ref="B3:B4"/>
    <mergeCell ref="F3:G3"/>
    <mergeCell ref="F4:G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81592-62B0-47A3-A58E-D5578BA51031}">
  <sheetPr codeName="Sheet22">
    <tabColor rgb="FF00B0F0"/>
  </sheetPr>
  <dimension ref="A1:G66"/>
  <sheetViews>
    <sheetView workbookViewId="0">
      <selection activeCell="C11" sqref="C11"/>
    </sheetView>
  </sheetViews>
  <sheetFormatPr defaultRowHeight="14.25" x14ac:dyDescent="0.2"/>
  <cols>
    <col min="1" max="1" width="16.42578125" style="5" bestFit="1" customWidth="1"/>
    <col min="2" max="2" width="28.85546875" style="5" customWidth="1"/>
    <col min="3" max="3" width="20.42578125" style="5" customWidth="1"/>
    <col min="4" max="4" width="21.28515625" style="5" customWidth="1"/>
    <col min="5" max="5" width="14.28515625" style="5" bestFit="1" customWidth="1"/>
    <col min="6" max="6" width="19" style="5" bestFit="1" customWidth="1"/>
    <col min="7" max="7" width="18.5703125" style="5" customWidth="1"/>
    <col min="8" max="16384" width="9.140625" style="5"/>
  </cols>
  <sheetData>
    <row r="1" spans="1:7" ht="18.75" thickBot="1" x14ac:dyDescent="0.3">
      <c r="A1" s="52" t="s">
        <v>28</v>
      </c>
      <c r="B1" s="53"/>
      <c r="C1" s="53"/>
      <c r="D1" s="53"/>
      <c r="E1" s="54"/>
      <c r="F1" s="67"/>
      <c r="G1" s="67"/>
    </row>
    <row r="2" spans="1:7" ht="15" x14ac:dyDescent="0.2">
      <c r="A2" s="68" t="s">
        <v>9</v>
      </c>
      <c r="B2" s="69"/>
      <c r="C2" s="61" t="s">
        <v>29</v>
      </c>
      <c r="D2" s="61" t="s">
        <v>31</v>
      </c>
      <c r="E2" s="62"/>
      <c r="F2" s="55" t="s">
        <v>87</v>
      </c>
      <c r="G2" s="56"/>
    </row>
    <row r="3" spans="1:7" ht="15" x14ac:dyDescent="0.2">
      <c r="A3" s="57" t="s">
        <v>8</v>
      </c>
      <c r="B3" s="15" t="s">
        <v>148</v>
      </c>
      <c r="C3" s="16">
        <f>SUM(B14:B21)</f>
        <v>81.72</v>
      </c>
      <c r="D3" s="16">
        <f>SUM(B38:B59)</f>
        <v>226.18</v>
      </c>
      <c r="E3" s="63" t="s">
        <v>95</v>
      </c>
      <c r="F3" s="138">
        <v>0</v>
      </c>
      <c r="G3" s="139"/>
    </row>
    <row r="4" spans="1:7" ht="15" x14ac:dyDescent="0.2">
      <c r="A4" s="57"/>
      <c r="B4" s="15"/>
      <c r="C4" s="17">
        <v>1050</v>
      </c>
      <c r="D4" s="18">
        <v>950</v>
      </c>
      <c r="E4" s="63" t="s">
        <v>97</v>
      </c>
      <c r="F4" s="64" t="s">
        <v>7</v>
      </c>
      <c r="G4" s="65"/>
    </row>
    <row r="5" spans="1:7" ht="15" x14ac:dyDescent="0.2">
      <c r="A5" s="57" t="s">
        <v>6</v>
      </c>
      <c r="B5" s="19" t="s">
        <v>157</v>
      </c>
      <c r="C5" s="20">
        <f>SUM(D14:D21)</f>
        <v>1021.5</v>
      </c>
      <c r="D5" s="18">
        <f>SUM(D60:D66)</f>
        <v>907</v>
      </c>
      <c r="E5" s="63" t="s">
        <v>1</v>
      </c>
      <c r="F5" s="21" t="s">
        <v>96</v>
      </c>
      <c r="G5" s="145">
        <f>C3+C9+D9+D3</f>
        <v>544.13</v>
      </c>
    </row>
    <row r="6" spans="1:7" ht="15" x14ac:dyDescent="0.2">
      <c r="A6" s="57"/>
      <c r="B6" s="19"/>
      <c r="C6" s="23">
        <f>C4-C5</f>
        <v>28.5</v>
      </c>
      <c r="D6" s="18">
        <f>D4-D5</f>
        <v>43</v>
      </c>
      <c r="E6" s="63" t="s">
        <v>0</v>
      </c>
      <c r="F6" s="21" t="s">
        <v>98</v>
      </c>
      <c r="G6" s="22">
        <f>C4+C10+D4+D10</f>
        <v>6950</v>
      </c>
    </row>
    <row r="7" spans="1:7" ht="15" customHeight="1" x14ac:dyDescent="0.2">
      <c r="A7" s="57" t="s">
        <v>4</v>
      </c>
      <c r="B7" s="19" t="s">
        <v>175</v>
      </c>
      <c r="C7" s="58" t="s">
        <v>30</v>
      </c>
      <c r="D7" s="58" t="s">
        <v>32</v>
      </c>
      <c r="E7" s="66"/>
      <c r="F7" s="24" t="s">
        <v>5</v>
      </c>
      <c r="G7" s="22">
        <f>G5*B11</f>
        <v>6801.625</v>
      </c>
    </row>
    <row r="8" spans="1:7" x14ac:dyDescent="0.2">
      <c r="A8" s="57"/>
      <c r="B8" s="19"/>
      <c r="C8" s="58"/>
      <c r="D8" s="58"/>
      <c r="E8" s="66"/>
      <c r="F8" s="25" t="s">
        <v>11</v>
      </c>
      <c r="G8" s="22">
        <f>(G7-G6)+F3</f>
        <v>-148.375</v>
      </c>
    </row>
    <row r="9" spans="1:7" ht="15.75" thickBot="1" x14ac:dyDescent="0.25">
      <c r="A9" s="57" t="s">
        <v>86</v>
      </c>
      <c r="B9" s="19" t="s">
        <v>176</v>
      </c>
      <c r="C9" s="26">
        <f>SUM(B22:B37)</f>
        <v>163.66999999999999</v>
      </c>
      <c r="D9" s="26">
        <f>SUM(B60:B66)</f>
        <v>72.56</v>
      </c>
      <c r="E9" s="63" t="s">
        <v>95</v>
      </c>
      <c r="F9" s="27" t="s">
        <v>3</v>
      </c>
      <c r="G9" s="28">
        <f>IFERROR(G8/B11, 0)</f>
        <v>-11.87</v>
      </c>
    </row>
    <row r="10" spans="1:7" ht="15" x14ac:dyDescent="0.2">
      <c r="A10" s="57"/>
      <c r="B10" s="19"/>
      <c r="C10" s="29">
        <v>2050</v>
      </c>
      <c r="D10" s="18">
        <v>2900</v>
      </c>
      <c r="E10" s="63" t="s">
        <v>97</v>
      </c>
    </row>
    <row r="11" spans="1:7" ht="15" x14ac:dyDescent="0.2">
      <c r="A11" s="57" t="s">
        <v>2</v>
      </c>
      <c r="B11" s="30">
        <v>12.5</v>
      </c>
      <c r="C11" s="31">
        <f>SUM(D22:D37)</f>
        <v>2045.875</v>
      </c>
      <c r="D11" s="18">
        <f>SUM(D38:D59)</f>
        <v>2827.25</v>
      </c>
      <c r="E11" s="63" t="s">
        <v>1</v>
      </c>
    </row>
    <row r="12" spans="1:7" ht="15" x14ac:dyDescent="0.2">
      <c r="A12" s="57"/>
      <c r="B12" s="30"/>
      <c r="C12" s="18">
        <f>C10-C11</f>
        <v>4.125</v>
      </c>
      <c r="D12" s="18">
        <f>D10-D11</f>
        <v>72.75</v>
      </c>
      <c r="E12" s="63" t="s">
        <v>0</v>
      </c>
    </row>
    <row r="13" spans="1:7" ht="18.75" customHeight="1" thickBot="1" x14ac:dyDescent="0.25">
      <c r="A13" s="59" t="s">
        <v>17</v>
      </c>
      <c r="B13" s="60" t="s">
        <v>95</v>
      </c>
      <c r="C13" s="60" t="s">
        <v>87</v>
      </c>
      <c r="D13" s="60" t="s">
        <v>94</v>
      </c>
      <c r="E13" s="32"/>
    </row>
    <row r="14" spans="1:7" x14ac:dyDescent="0.2">
      <c r="A14" s="140" t="s">
        <v>33</v>
      </c>
      <c r="B14" s="33">
        <v>9.8800000000000008</v>
      </c>
      <c r="C14" s="34">
        <v>0</v>
      </c>
      <c r="D14" s="35">
        <f t="shared" ref="D14:D66" si="0">B14*$B$11</f>
        <v>123.50000000000001</v>
      </c>
      <c r="E14" s="36"/>
    </row>
    <row r="15" spans="1:7" x14ac:dyDescent="0.2">
      <c r="A15" s="141" t="s">
        <v>34</v>
      </c>
      <c r="B15" s="37">
        <v>10.220000000000001</v>
      </c>
      <c r="C15" s="38">
        <v>0</v>
      </c>
      <c r="D15" s="39">
        <f t="shared" si="0"/>
        <v>127.75000000000001</v>
      </c>
      <c r="E15" s="36"/>
    </row>
    <row r="16" spans="1:7" x14ac:dyDescent="0.2">
      <c r="A16" s="141" t="s">
        <v>35</v>
      </c>
      <c r="B16" s="37">
        <v>11.05</v>
      </c>
      <c r="C16" s="38">
        <v>0</v>
      </c>
      <c r="D16" s="39">
        <f t="shared" si="0"/>
        <v>138.125</v>
      </c>
      <c r="E16" s="36"/>
    </row>
    <row r="17" spans="1:5" x14ac:dyDescent="0.2">
      <c r="A17" s="141" t="s">
        <v>36</v>
      </c>
      <c r="B17" s="37">
        <v>9.41</v>
      </c>
      <c r="C17" s="38">
        <v>0</v>
      </c>
      <c r="D17" s="39">
        <f t="shared" si="0"/>
        <v>117.625</v>
      </c>
      <c r="E17" s="36"/>
    </row>
    <row r="18" spans="1:5" x14ac:dyDescent="0.2">
      <c r="A18" s="141" t="s">
        <v>37</v>
      </c>
      <c r="B18" s="37">
        <v>10.63</v>
      </c>
      <c r="C18" s="38">
        <v>0</v>
      </c>
      <c r="D18" s="39">
        <f t="shared" si="0"/>
        <v>132.875</v>
      </c>
      <c r="E18" s="36"/>
    </row>
    <row r="19" spans="1:5" x14ac:dyDescent="0.2">
      <c r="A19" s="141" t="s">
        <v>38</v>
      </c>
      <c r="B19" s="37">
        <v>9.9700000000000006</v>
      </c>
      <c r="C19" s="38">
        <v>0</v>
      </c>
      <c r="D19" s="39">
        <f t="shared" si="0"/>
        <v>124.62500000000001</v>
      </c>
      <c r="E19" s="36"/>
    </row>
    <row r="20" spans="1:5" x14ac:dyDescent="0.2">
      <c r="A20" s="141" t="s">
        <v>39</v>
      </c>
      <c r="B20" s="37">
        <v>11.34</v>
      </c>
      <c r="C20" s="38">
        <v>0</v>
      </c>
      <c r="D20" s="39">
        <f t="shared" si="0"/>
        <v>141.75</v>
      </c>
      <c r="E20" s="36"/>
    </row>
    <row r="21" spans="1:5" x14ac:dyDescent="0.2">
      <c r="A21" s="141" t="s">
        <v>40</v>
      </c>
      <c r="B21" s="37">
        <v>9.2200000000000006</v>
      </c>
      <c r="C21" s="38">
        <v>0</v>
      </c>
      <c r="D21" s="39">
        <f t="shared" si="0"/>
        <v>115.25000000000001</v>
      </c>
      <c r="E21" s="36"/>
    </row>
    <row r="22" spans="1:5" x14ac:dyDescent="0.2">
      <c r="A22" s="141" t="s">
        <v>41</v>
      </c>
      <c r="B22" s="37">
        <v>10.44</v>
      </c>
      <c r="C22" s="38">
        <v>0</v>
      </c>
      <c r="D22" s="39">
        <f t="shared" si="0"/>
        <v>130.5</v>
      </c>
      <c r="E22" s="36"/>
    </row>
    <row r="23" spans="1:5" x14ac:dyDescent="0.2">
      <c r="A23" s="141" t="s">
        <v>42</v>
      </c>
      <c r="B23" s="37">
        <v>9.75</v>
      </c>
      <c r="C23" s="38">
        <v>0</v>
      </c>
      <c r="D23" s="39">
        <f t="shared" si="0"/>
        <v>121.875</v>
      </c>
      <c r="E23" s="36"/>
    </row>
    <row r="24" spans="1:5" x14ac:dyDescent="0.2">
      <c r="A24" s="141" t="s">
        <v>43</v>
      </c>
      <c r="B24" s="37">
        <v>11.11</v>
      </c>
      <c r="C24" s="38">
        <v>0</v>
      </c>
      <c r="D24" s="39">
        <f t="shared" si="0"/>
        <v>138.875</v>
      </c>
      <c r="E24" s="36"/>
    </row>
    <row r="25" spans="1:5" x14ac:dyDescent="0.2">
      <c r="A25" s="141" t="s">
        <v>44</v>
      </c>
      <c r="B25" s="37">
        <v>9.36</v>
      </c>
      <c r="C25" s="38">
        <v>0</v>
      </c>
      <c r="D25" s="39">
        <f t="shared" si="0"/>
        <v>117</v>
      </c>
      <c r="E25" s="36"/>
    </row>
    <row r="26" spans="1:5" x14ac:dyDescent="0.2">
      <c r="A26" s="141" t="s">
        <v>45</v>
      </c>
      <c r="B26" s="37">
        <v>10.57</v>
      </c>
      <c r="C26" s="38">
        <v>0</v>
      </c>
      <c r="D26" s="39">
        <f t="shared" si="0"/>
        <v>132.125</v>
      </c>
      <c r="E26" s="36"/>
    </row>
    <row r="27" spans="1:5" x14ac:dyDescent="0.2">
      <c r="A27" s="141" t="s">
        <v>46</v>
      </c>
      <c r="B27" s="37">
        <v>9.92</v>
      </c>
      <c r="C27" s="38">
        <v>0</v>
      </c>
      <c r="D27" s="39">
        <f t="shared" si="0"/>
        <v>124</v>
      </c>
      <c r="E27" s="36"/>
    </row>
    <row r="28" spans="1:5" x14ac:dyDescent="0.2">
      <c r="A28" s="141" t="s">
        <v>47</v>
      </c>
      <c r="B28" s="37">
        <v>11.28</v>
      </c>
      <c r="C28" s="38">
        <v>0</v>
      </c>
      <c r="D28" s="39">
        <f t="shared" si="0"/>
        <v>141</v>
      </c>
      <c r="E28" s="36"/>
    </row>
    <row r="29" spans="1:5" x14ac:dyDescent="0.2">
      <c r="A29" s="141" t="s">
        <v>48</v>
      </c>
      <c r="B29" s="37">
        <v>9.27</v>
      </c>
      <c r="C29" s="38">
        <v>0</v>
      </c>
      <c r="D29" s="39">
        <f t="shared" si="0"/>
        <v>115.875</v>
      </c>
      <c r="E29" s="36"/>
    </row>
    <row r="30" spans="1:5" x14ac:dyDescent="0.2">
      <c r="A30" s="141" t="s">
        <v>49</v>
      </c>
      <c r="B30" s="37">
        <v>10.49</v>
      </c>
      <c r="C30" s="38">
        <v>0</v>
      </c>
      <c r="D30" s="39">
        <f t="shared" si="0"/>
        <v>131.125</v>
      </c>
      <c r="E30" s="36"/>
    </row>
    <row r="31" spans="1:5" x14ac:dyDescent="0.2">
      <c r="A31" s="141" t="s">
        <v>50</v>
      </c>
      <c r="B31" s="37">
        <v>9.8000000000000007</v>
      </c>
      <c r="C31" s="38">
        <v>0</v>
      </c>
      <c r="D31" s="39">
        <f t="shared" si="0"/>
        <v>122.50000000000001</v>
      </c>
      <c r="E31" s="36"/>
    </row>
    <row r="32" spans="1:5" x14ac:dyDescent="0.2">
      <c r="A32" s="141" t="s">
        <v>51</v>
      </c>
      <c r="B32" s="37">
        <v>11.15</v>
      </c>
      <c r="C32" s="38">
        <v>0</v>
      </c>
      <c r="D32" s="39">
        <f t="shared" si="0"/>
        <v>139.375</v>
      </c>
      <c r="E32" s="36"/>
    </row>
    <row r="33" spans="1:5" x14ac:dyDescent="0.2">
      <c r="A33" s="141" t="s">
        <v>52</v>
      </c>
      <c r="B33" s="37">
        <v>9.39</v>
      </c>
      <c r="C33" s="38">
        <v>0</v>
      </c>
      <c r="D33" s="39">
        <f t="shared" si="0"/>
        <v>117.375</v>
      </c>
      <c r="E33" s="36"/>
    </row>
    <row r="34" spans="1:5" x14ac:dyDescent="0.2">
      <c r="A34" s="141" t="s">
        <v>53</v>
      </c>
      <c r="B34" s="37">
        <v>10.6</v>
      </c>
      <c r="C34" s="38">
        <v>0</v>
      </c>
      <c r="D34" s="39">
        <f t="shared" si="0"/>
        <v>132.5</v>
      </c>
      <c r="E34" s="36"/>
    </row>
    <row r="35" spans="1:5" x14ac:dyDescent="0.2">
      <c r="A35" s="141" t="s">
        <v>54</v>
      </c>
      <c r="B35" s="37">
        <v>9.94</v>
      </c>
      <c r="C35" s="38">
        <v>0</v>
      </c>
      <c r="D35" s="39">
        <f t="shared" si="0"/>
        <v>124.25</v>
      </c>
      <c r="E35" s="36"/>
    </row>
    <row r="36" spans="1:5" x14ac:dyDescent="0.2">
      <c r="A36" s="141" t="s">
        <v>55</v>
      </c>
      <c r="B36" s="37">
        <v>11.31</v>
      </c>
      <c r="C36" s="38">
        <v>0</v>
      </c>
      <c r="D36" s="39">
        <f t="shared" si="0"/>
        <v>141.375</v>
      </c>
      <c r="E36" s="36"/>
    </row>
    <row r="37" spans="1:5" x14ac:dyDescent="0.2">
      <c r="A37" s="141" t="s">
        <v>56</v>
      </c>
      <c r="B37" s="37">
        <v>9.2899999999999991</v>
      </c>
      <c r="C37" s="38">
        <v>0</v>
      </c>
      <c r="D37" s="39">
        <f t="shared" si="0"/>
        <v>116.12499999999999</v>
      </c>
      <c r="E37" s="36"/>
    </row>
    <row r="38" spans="1:5" x14ac:dyDescent="0.2">
      <c r="A38" s="141" t="s">
        <v>57</v>
      </c>
      <c r="B38" s="37">
        <v>10.52</v>
      </c>
      <c r="C38" s="38">
        <v>0</v>
      </c>
      <c r="D38" s="39">
        <f t="shared" si="0"/>
        <v>131.5</v>
      </c>
      <c r="E38" s="36"/>
    </row>
    <row r="39" spans="1:5" x14ac:dyDescent="0.2">
      <c r="A39" s="141" t="s">
        <v>58</v>
      </c>
      <c r="B39" s="37">
        <v>9.82</v>
      </c>
      <c r="C39" s="38">
        <v>0</v>
      </c>
      <c r="D39" s="39">
        <f t="shared" si="0"/>
        <v>122.75</v>
      </c>
      <c r="E39" s="36"/>
    </row>
    <row r="40" spans="1:5" x14ac:dyDescent="0.2">
      <c r="A40" s="141" t="s">
        <v>59</v>
      </c>
      <c r="B40" s="37">
        <v>11.17</v>
      </c>
      <c r="C40" s="38">
        <v>0</v>
      </c>
      <c r="D40" s="39">
        <f t="shared" si="0"/>
        <v>139.625</v>
      </c>
      <c r="E40" s="36"/>
    </row>
    <row r="41" spans="1:5" x14ac:dyDescent="0.2">
      <c r="A41" s="141" t="s">
        <v>60</v>
      </c>
      <c r="B41" s="37">
        <v>9.41</v>
      </c>
      <c r="C41" s="38">
        <v>0</v>
      </c>
      <c r="D41" s="39">
        <f t="shared" si="0"/>
        <v>117.625</v>
      </c>
      <c r="E41" s="36"/>
    </row>
    <row r="42" spans="1:5" x14ac:dyDescent="0.2">
      <c r="A42" s="141" t="s">
        <v>61</v>
      </c>
      <c r="B42" s="37">
        <v>10.62</v>
      </c>
      <c r="C42" s="38">
        <v>0</v>
      </c>
      <c r="D42" s="39">
        <f t="shared" si="0"/>
        <v>132.75</v>
      </c>
      <c r="E42" s="36"/>
    </row>
    <row r="43" spans="1:5" x14ac:dyDescent="0.2">
      <c r="A43" s="141" t="s">
        <v>62</v>
      </c>
      <c r="B43" s="37">
        <v>9.9600000000000009</v>
      </c>
      <c r="C43" s="38">
        <v>0</v>
      </c>
      <c r="D43" s="39">
        <f t="shared" si="0"/>
        <v>124.50000000000001</v>
      </c>
      <c r="E43" s="36"/>
    </row>
    <row r="44" spans="1:5" x14ac:dyDescent="0.2">
      <c r="A44" s="141" t="s">
        <v>63</v>
      </c>
      <c r="B44" s="37">
        <v>11.33</v>
      </c>
      <c r="C44" s="38">
        <v>0</v>
      </c>
      <c r="D44" s="39">
        <f t="shared" si="0"/>
        <v>141.625</v>
      </c>
      <c r="E44" s="36"/>
    </row>
    <row r="45" spans="1:5" x14ac:dyDescent="0.2">
      <c r="A45" s="141" t="s">
        <v>64</v>
      </c>
      <c r="B45" s="37">
        <v>9.31</v>
      </c>
      <c r="C45" s="38">
        <v>0</v>
      </c>
      <c r="D45" s="39">
        <f t="shared" si="0"/>
        <v>116.375</v>
      </c>
      <c r="E45" s="36"/>
    </row>
    <row r="46" spans="1:5" x14ac:dyDescent="0.2">
      <c r="A46" s="141" t="s">
        <v>65</v>
      </c>
      <c r="B46" s="37">
        <v>10.54</v>
      </c>
      <c r="C46" s="38">
        <v>0</v>
      </c>
      <c r="D46" s="39">
        <f t="shared" si="0"/>
        <v>131.75</v>
      </c>
      <c r="E46" s="36"/>
    </row>
    <row r="47" spans="1:5" x14ac:dyDescent="0.2">
      <c r="A47" s="141" t="s">
        <v>66</v>
      </c>
      <c r="B47" s="37">
        <v>9.84</v>
      </c>
      <c r="C47" s="38">
        <v>0</v>
      </c>
      <c r="D47" s="39">
        <f t="shared" si="0"/>
        <v>123</v>
      </c>
      <c r="E47" s="36"/>
    </row>
    <row r="48" spans="1:5" x14ac:dyDescent="0.2">
      <c r="A48" s="141" t="s">
        <v>67</v>
      </c>
      <c r="B48" s="37">
        <v>11.19</v>
      </c>
      <c r="C48" s="38">
        <v>0</v>
      </c>
      <c r="D48" s="39">
        <f t="shared" si="0"/>
        <v>139.875</v>
      </c>
      <c r="E48" s="36"/>
    </row>
    <row r="49" spans="1:5" x14ac:dyDescent="0.2">
      <c r="A49" s="141" t="s">
        <v>68</v>
      </c>
      <c r="B49" s="37">
        <v>9.43</v>
      </c>
      <c r="C49" s="38">
        <v>0</v>
      </c>
      <c r="D49" s="39">
        <f t="shared" si="0"/>
        <v>117.875</v>
      </c>
      <c r="E49" s="36"/>
    </row>
    <row r="50" spans="1:5" x14ac:dyDescent="0.2">
      <c r="A50" s="141" t="s">
        <v>69</v>
      </c>
      <c r="B50" s="37">
        <v>10.64</v>
      </c>
      <c r="C50" s="38">
        <v>0</v>
      </c>
      <c r="D50" s="39">
        <f t="shared" si="0"/>
        <v>133</v>
      </c>
      <c r="E50" s="36"/>
    </row>
    <row r="51" spans="1:5" x14ac:dyDescent="0.2">
      <c r="A51" s="141" t="s">
        <v>70</v>
      </c>
      <c r="B51" s="37">
        <v>9.98</v>
      </c>
      <c r="C51" s="38">
        <v>0</v>
      </c>
      <c r="D51" s="39">
        <f t="shared" si="0"/>
        <v>124.75</v>
      </c>
      <c r="E51" s="36"/>
    </row>
    <row r="52" spans="1:5" x14ac:dyDescent="0.2">
      <c r="A52" s="141" t="s">
        <v>71</v>
      </c>
      <c r="B52" s="37">
        <v>11.35</v>
      </c>
      <c r="C52" s="38">
        <v>0</v>
      </c>
      <c r="D52" s="39">
        <f t="shared" si="0"/>
        <v>141.875</v>
      </c>
      <c r="E52" s="36"/>
    </row>
    <row r="53" spans="1:5" x14ac:dyDescent="0.2">
      <c r="A53" s="141" t="s">
        <v>72</v>
      </c>
      <c r="B53" s="37">
        <v>9.33</v>
      </c>
      <c r="C53" s="38">
        <v>0</v>
      </c>
      <c r="D53" s="39">
        <f t="shared" si="0"/>
        <v>116.625</v>
      </c>
      <c r="E53" s="36"/>
    </row>
    <row r="54" spans="1:5" x14ac:dyDescent="0.2">
      <c r="A54" s="141" t="s">
        <v>73</v>
      </c>
      <c r="B54" s="37">
        <v>10.56</v>
      </c>
      <c r="C54" s="38">
        <v>0</v>
      </c>
      <c r="D54" s="39">
        <f t="shared" si="0"/>
        <v>132</v>
      </c>
      <c r="E54" s="36"/>
    </row>
    <row r="55" spans="1:5" x14ac:dyDescent="0.2">
      <c r="A55" s="141" t="s">
        <v>74</v>
      </c>
      <c r="B55" s="37">
        <v>9.86</v>
      </c>
      <c r="C55" s="38">
        <v>0</v>
      </c>
      <c r="D55" s="39">
        <f t="shared" si="0"/>
        <v>123.25</v>
      </c>
      <c r="E55" s="36"/>
    </row>
    <row r="56" spans="1:5" x14ac:dyDescent="0.2">
      <c r="A56" s="141" t="s">
        <v>75</v>
      </c>
      <c r="B56" s="37">
        <v>11.21</v>
      </c>
      <c r="C56" s="38">
        <v>0</v>
      </c>
      <c r="D56" s="39">
        <f t="shared" si="0"/>
        <v>140.125</v>
      </c>
      <c r="E56" s="36"/>
    </row>
    <row r="57" spans="1:5" x14ac:dyDescent="0.2">
      <c r="A57" s="141" t="s">
        <v>76</v>
      </c>
      <c r="B57" s="37">
        <v>9.4499999999999993</v>
      </c>
      <c r="C57" s="38">
        <v>0</v>
      </c>
      <c r="D57" s="39">
        <f t="shared" si="0"/>
        <v>118.12499999999999</v>
      </c>
      <c r="E57" s="36"/>
    </row>
    <row r="58" spans="1:5" x14ac:dyDescent="0.2">
      <c r="A58" s="141" t="s">
        <v>77</v>
      </c>
      <c r="B58" s="37">
        <v>10.66</v>
      </c>
      <c r="C58" s="38">
        <v>0</v>
      </c>
      <c r="D58" s="39">
        <f t="shared" si="0"/>
        <v>133.25</v>
      </c>
      <c r="E58" s="36"/>
    </row>
    <row r="59" spans="1:5" x14ac:dyDescent="0.2">
      <c r="A59" s="141" t="s">
        <v>78</v>
      </c>
      <c r="B59" s="37">
        <v>10</v>
      </c>
      <c r="C59" s="38">
        <v>0</v>
      </c>
      <c r="D59" s="39">
        <f t="shared" si="0"/>
        <v>125</v>
      </c>
      <c r="E59" s="36"/>
    </row>
    <row r="60" spans="1:5" x14ac:dyDescent="0.2">
      <c r="A60" s="141" t="s">
        <v>79</v>
      </c>
      <c r="B60" s="37">
        <v>11.37</v>
      </c>
      <c r="C60" s="38">
        <v>0</v>
      </c>
      <c r="D60" s="39">
        <f t="shared" si="0"/>
        <v>142.125</v>
      </c>
      <c r="E60" s="36"/>
    </row>
    <row r="61" spans="1:5" x14ac:dyDescent="0.2">
      <c r="A61" s="141" t="s">
        <v>80</v>
      </c>
      <c r="B61" s="37">
        <v>9.35</v>
      </c>
      <c r="C61" s="38">
        <v>0</v>
      </c>
      <c r="D61" s="39">
        <f t="shared" si="0"/>
        <v>116.875</v>
      </c>
      <c r="E61" s="36"/>
    </row>
    <row r="62" spans="1:5" x14ac:dyDescent="0.2">
      <c r="A62" s="141" t="s">
        <v>81</v>
      </c>
      <c r="B62" s="37">
        <v>10.58</v>
      </c>
      <c r="C62" s="38">
        <v>0</v>
      </c>
      <c r="D62" s="39">
        <f t="shared" si="0"/>
        <v>132.25</v>
      </c>
      <c r="E62" s="36"/>
    </row>
    <row r="63" spans="1:5" x14ac:dyDescent="0.2">
      <c r="A63" s="141" t="s">
        <v>82</v>
      </c>
      <c r="B63" s="37">
        <v>9.8800000000000008</v>
      </c>
      <c r="C63" s="38">
        <v>0</v>
      </c>
      <c r="D63" s="39">
        <f t="shared" si="0"/>
        <v>123.50000000000001</v>
      </c>
      <c r="E63" s="36"/>
    </row>
    <row r="64" spans="1:5" x14ac:dyDescent="0.2">
      <c r="A64" s="142" t="s">
        <v>83</v>
      </c>
      <c r="B64" s="37">
        <v>11.23</v>
      </c>
      <c r="C64" s="38">
        <v>0</v>
      </c>
      <c r="D64" s="39">
        <f t="shared" si="0"/>
        <v>140.375</v>
      </c>
      <c r="E64" s="36"/>
    </row>
    <row r="65" spans="1:5" x14ac:dyDescent="0.2">
      <c r="A65" s="142" t="s">
        <v>84</v>
      </c>
      <c r="B65" s="37">
        <v>9.4700000000000006</v>
      </c>
      <c r="C65" s="38">
        <v>0</v>
      </c>
      <c r="D65" s="39">
        <f t="shared" si="0"/>
        <v>118.37500000000001</v>
      </c>
      <c r="E65" s="36"/>
    </row>
    <row r="66" spans="1:5" ht="15" thickBot="1" x14ac:dyDescent="0.25">
      <c r="A66" s="143" t="s">
        <v>85</v>
      </c>
      <c r="B66" s="40">
        <v>10.68</v>
      </c>
      <c r="C66" s="41">
        <v>0</v>
      </c>
      <c r="D66" s="42">
        <f t="shared" si="0"/>
        <v>133.5</v>
      </c>
      <c r="E66" s="43"/>
    </row>
  </sheetData>
  <mergeCells count="19">
    <mergeCell ref="E7:E8"/>
    <mergeCell ref="A9:A10"/>
    <mergeCell ref="B9:B10"/>
    <mergeCell ref="A11:A12"/>
    <mergeCell ref="B11:B12"/>
    <mergeCell ref="E13:E66"/>
    <mergeCell ref="A5:A6"/>
    <mergeCell ref="B5:B6"/>
    <mergeCell ref="A7:A8"/>
    <mergeCell ref="B7:B8"/>
    <mergeCell ref="C7:C8"/>
    <mergeCell ref="D7:D8"/>
    <mergeCell ref="A1:E1"/>
    <mergeCell ref="A2:B2"/>
    <mergeCell ref="F2:G2"/>
    <mergeCell ref="A3:A4"/>
    <mergeCell ref="B3:B4"/>
    <mergeCell ref="F3:G3"/>
    <mergeCell ref="F4:G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8CC32-DD1D-4A63-A31F-332E9F2539A6}">
  <sheetPr codeName="Sheet9">
    <tabColor rgb="FFC00000"/>
  </sheetPr>
  <dimension ref="A1"/>
  <sheetViews>
    <sheetView workbookViewId="0"/>
  </sheetViews>
  <sheetFormatPr defaultRowHeight="15" x14ac:dyDescent="0.25"/>
  <sheetData>
    <row r="1" spans="1:1" x14ac:dyDescent="0.25">
      <c r="A1" t="s">
        <v>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criptIds xmlns="http://schemas.microsoft.com/office/extensibility/maker/v1.0" id="script-ids-node-id">
  <scriptId xmlns="" id="ms-officescript%3A%2F%2Fonedrive_business_itemlink%2F01IPFMN2VDUXY5YK6V2BBJHUJDHCLTX5AJ:ms-officescript%3A%2F%2Fonedrive_business_sharinglink%2Fu!aHR0cHM6Ly9teWxvbmVzdGFyLW15LnNoYXJlcG9pbnQuY29tLzp1Oi9nL3BlcnNvbmFsL2FsZXhhbmRlcl9qX2RvZGRfbG9uZXN0YXJfZWR1L0lRQ2pwZkhjSzlYUVFwUFJJemlYT19RSkFlS0dVX3AydHhNWk5pS3dsSUlkWk5j"/>
</scriptIds>
</file>

<file path=customXml/item2.xml>�� 
</file>

<file path=customXml/itemProps1.xml><?xml version="1.0" encoding="utf-8"?>
<ds:datastoreItem xmlns:ds="http://schemas.openxmlformats.org/officeDocument/2006/customXml" ds:itemID="{F802EF24-C8B4-41E3-A2A6-339BC72AA8A5}">
  <ds:schemaRefs>
    <ds:schemaRef ds:uri="http://schemas.microsoft.com/office/extensibility/maker/v1.0"/>
    <ds:schemaRef ds:uri=""/>
  </ds:schemaRefs>
</ds:datastoreItem>
</file>

<file path=customXml/itemProps2.xml><?xml version="1.0" encoding="utf-8"?>
<ds:datastoreItem xmlns:ds="http://schemas.openxmlformats.org/officeDocument/2006/customXml" ds:itemID="{8EC2C337-F576-4BFE-930E-89C594AF49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Employee Profile Template</vt:lpstr>
      <vt:lpstr>Summary</vt:lpstr>
      <vt:lpstr>Projection Calculator</vt:lpstr>
      <vt:lpstr>Employee List</vt:lpstr>
      <vt:lpstr>Department List</vt:lpstr>
      <vt:lpstr>First</vt:lpstr>
      <vt:lpstr>Liana Mercer</vt:lpstr>
      <vt:lpstr>Darius Cole</vt:lpstr>
      <vt:lpstr>Priya Deshmukh</vt:lpstr>
      <vt:lpstr>Mateo Alvarez</vt:lpstr>
      <vt:lpstr>Hannah Schultz</vt:lpstr>
      <vt:lpstr>Jamal Washington</vt:lpstr>
      <vt:lpstr>Chloe Nguyen</vt:lpstr>
      <vt:lpstr>Ethan Patel</vt:lpstr>
      <vt:lpstr>Sofia Rossi</vt:lpstr>
      <vt:lpstr>Caleb Johnson</vt:lpstr>
      <vt:lpstr>End</vt:lpstr>
    </vt:vector>
  </TitlesOfParts>
  <Company>Lone Star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Dodd, Alexander J</dc:creator>
  <cp:lastModifiedBy>Dodd, Alexander J</cp:lastModifiedBy>
  <dcterms:created xsi:type="dcterms:W3CDTF">2026-02-09T16:07:52Z</dcterms:created>
  <dcterms:modified xsi:type="dcterms:W3CDTF">2026-03-23T19:38:15Z</dcterms:modified>
</cp:coreProperties>
</file>